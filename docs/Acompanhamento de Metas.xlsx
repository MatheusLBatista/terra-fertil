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M1" sheetId="2" r:id="rId6"/>
    <sheet state="visible" name="M2" sheetId="3" r:id="rId7"/>
    <sheet state="visible" name="M3" sheetId="4" r:id="rId8"/>
    <sheet state="visible" name="M4" sheetId="5" r:id="rId9"/>
    <sheet state="visible" name="M5" sheetId="6" r:id="rId10"/>
    <sheet state="visible" name="M6" sheetId="7" r:id="rId11"/>
    <sheet state="visible" name="M7" sheetId="8" r:id="rId12"/>
    <sheet state="visible" name="M8" sheetId="9" r:id="rId13"/>
    <sheet state="visible" name="M9" sheetId="10" r:id="rId14"/>
    <sheet state="visible" name="M10" sheetId="11" r:id="rId15"/>
    <sheet state="visible" name="Página3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tc={520a75a8-acb7-4d51-a9bf-21d11870f053}</author>
  </authors>
  <commentList>
    <comment authorId="0" xr:uid="{520a75a8-acb7-4d51-a9bf-21d11870f0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Coordenação
</t>
      </text>
    </comment>
  </commentList>
</comments>
</file>

<file path=xl/sharedStrings.xml><?xml version="1.0" encoding="utf-8"?>
<sst xmlns="http://schemas.openxmlformats.org/spreadsheetml/2006/main" count="4728" uniqueCount="1380">
  <si>
    <t>Meta 2</t>
  </si>
  <si>
    <t>Fortalecer as associações rurais como instâncias organizadoras da produção, da assistência técnica e da gestão de equipamentos.</t>
  </si>
  <si>
    <t>Meta 3</t>
  </si>
  <si>
    <t>Meta 1</t>
  </si>
  <si>
    <t>Identificar os principais fatores edáficos que limitam a produtividade e recomendar práticas de manejo e conservação do solo.</t>
  </si>
  <si>
    <t>Realizar diagnóstico técnico e produtivo das comunidades atendidas, com ênfase na caracterização dos arranjos produtivos locais.</t>
  </si>
  <si>
    <t>50 associações parceiras formalizadas. 50 planos de gestão de equipamentos elaborados.</t>
  </si>
  <si>
    <t>% de conslusão do projeto</t>
  </si>
  <si>
    <t>50 associações parceiras formalizadas.</t>
  </si>
  <si>
    <t>50 planos de gestão de equipamentos elaborados.</t>
  </si>
  <si>
    <t>Diagnóstico de pelo menos 100 associações. 3 relatórios técnico-participativo elaborados.</t>
  </si>
  <si>
    <t>Quantidade prevista</t>
  </si>
  <si>
    <t>Diagnóstico de pelo menos 100 associações.</t>
  </si>
  <si>
    <t>Quantidade executada</t>
  </si>
  <si>
    <t>5.000 análises laboratoriais realizadas prioritariamente no laboratório de solos do IFRO ou em parceiros externos. 1.000 laudos com recomendações entregues.</t>
  </si>
  <si>
    <t>5.000 análises laboratoriais realizadas.</t>
  </si>
  <si>
    <t>3 relatórios técnico-participativo elaborados.</t>
  </si>
  <si>
    <t>Porcentagem executada</t>
  </si>
  <si>
    <t>Meta</t>
  </si>
  <si>
    <t>1.000 laudos com recomendações entregues.</t>
  </si>
  <si>
    <t>Descrição</t>
  </si>
  <si>
    <t xml:space="preserve">	Valor aprovado</t>
  </si>
  <si>
    <t>Situação</t>
  </si>
  <si>
    <t>% concluída</t>
  </si>
  <si>
    <t>Peso</t>
  </si>
  <si>
    <t>% projeto</t>
  </si>
  <si>
    <t>Associação</t>
  </si>
  <si>
    <t>Município</t>
  </si>
  <si>
    <t>Parceria operacional formalizada?</t>
  </si>
  <si>
    <t>Plano de gestão de equipamentos elaborado?</t>
  </si>
  <si>
    <t>ASSOCIAÇÃO 01</t>
  </si>
  <si>
    <t>ASSOCIAÇÃO 02</t>
  </si>
  <si>
    <t>ASSOCIAÇÃO 03</t>
  </si>
  <si>
    <t>ASSOCIAÇÃO 04</t>
  </si>
  <si>
    <t>ASSOCIAÇÃO 05</t>
  </si>
  <si>
    <t>ASSOCIAÇÃO 06</t>
  </si>
  <si>
    <t>ASSOCIAÇÃO 07</t>
  </si>
  <si>
    <t>ASSOCIAÇÃO 08</t>
  </si>
  <si>
    <t>ASSOCIAÇÃO 09</t>
  </si>
  <si>
    <t>ASSOCIAÇÃO 10</t>
  </si>
  <si>
    <t>ASSOCIAÇÃO 11</t>
  </si>
  <si>
    <t>ASSOCIAÇÃO 12</t>
  </si>
  <si>
    <t>ASSOCIAÇÃO 13</t>
  </si>
  <si>
    <t>ASSOCIAÇÃO 14</t>
  </si>
  <si>
    <t>ASSOCIAÇÃO 15</t>
  </si>
  <si>
    <t>ASSOCIAÇÃO 16</t>
  </si>
  <si>
    <t>ASSOCIAÇÃO 17</t>
  </si>
  <si>
    <t>ASSOCIAÇÃO 18</t>
  </si>
  <si>
    <t>ASSOCIAÇÃO 19</t>
  </si>
  <si>
    <t>ASSOCIAÇÃO 20</t>
  </si>
  <si>
    <t>ASSOCIAÇÃO 21</t>
  </si>
  <si>
    <t>ASSOCIAÇÃO 22</t>
  </si>
  <si>
    <t>ASSOCIAÇÃO 23</t>
  </si>
  <si>
    <t>ASSOCIAÇÃO 24</t>
  </si>
  <si>
    <t>ASSOCIAÇÃO 25</t>
  </si>
  <si>
    <t>ASSOCIAÇÃO 26</t>
  </si>
  <si>
    <t>ASSOCIAÇÃO 27</t>
  </si>
  <si>
    <t>ASSOCIAÇÃO 28</t>
  </si>
  <si>
    <t>ASSOCIAÇÃO 29</t>
  </si>
  <si>
    <t>Propriedade</t>
  </si>
  <si>
    <t>ASSOCIAÇÃO 30</t>
  </si>
  <si>
    <t xml:space="preserve">Identificar os principais fatores edáficos que limitam a produtividade e recomendar práticas de manejo e conservação do solo.						</t>
  </si>
  <si>
    <t>ASSOCIAÇÃO 31</t>
  </si>
  <si>
    <t>ASSOCIAÇÃO 32</t>
  </si>
  <si>
    <t>Coleta Realizada?</t>
  </si>
  <si>
    <t>ASSOCIAÇÃO 33</t>
  </si>
  <si>
    <t>Análise realizada?</t>
  </si>
  <si>
    <t>ASSOCIAÇÃO 34</t>
  </si>
  <si>
    <t>ASSOCIAÇÃO 35</t>
  </si>
  <si>
    <t>ASSOCIAÇÃO 36</t>
  </si>
  <si>
    <t>Recomendações Emitidas?</t>
  </si>
  <si>
    <t>ASSOCIAÇÃO 37</t>
  </si>
  <si>
    <t>ASSOCIAÇÃO 38</t>
  </si>
  <si>
    <t>José De Assis Costa</t>
  </si>
  <si>
    <t>Meta 4</t>
  </si>
  <si>
    <t>Adquirir e entregar máquinas, insumos e implementos agrícolas básicos, com base nas demandas priorizadas pelos diagnósticos locais.</t>
  </si>
  <si>
    <t>ASPROMEP</t>
  </si>
  <si>
    <t>ASSOCIAÇÃO 39</t>
  </si>
  <si>
    <t>ASSOCIAÇÃO 40</t>
  </si>
  <si>
    <t>Sim</t>
  </si>
  <si>
    <t>ASSOCIAÇÃO 41</t>
  </si>
  <si>
    <t>Levantamento de campo realizado?</t>
  </si>
  <si>
    <t>José Conceição</t>
  </si>
  <si>
    <t>Informações Sistematizadas?</t>
  </si>
  <si>
    <t>ASSOCIAÇÃO 42</t>
  </si>
  <si>
    <t>Demandas
prioritárias identificadas?</t>
  </si>
  <si>
    <t>ASSOCIAÇÃO 43</t>
  </si>
  <si>
    <t>Meta 5</t>
  </si>
  <si>
    <t>Relatório</t>
  </si>
  <si>
    <t>Prestar assessoria técnica a produtores rurais associados durante a execução do projeto.</t>
  </si>
  <si>
    <t>ASSOCIAÇÃO 44</t>
  </si>
  <si>
    <t>Relatório Elaborado?</t>
  </si>
  <si>
    <t>Ezequiel Antune de castro</t>
  </si>
  <si>
    <t>ASSOCIAÇÃO 45</t>
  </si>
  <si>
    <t>Elivelton Goes da Silva</t>
  </si>
  <si>
    <t>ASSOCIAÇÃO 46</t>
  </si>
  <si>
    <t>Neusa Matilde de Oliveira</t>
  </si>
  <si>
    <t>ASSOCIAÇÃO 47</t>
  </si>
  <si>
    <t>Meta 6</t>
  </si>
  <si>
    <t>Capacitar agricultores em tecnologias apropriadas e práticas sustentáveis de uso do solo e produção agropecuária</t>
  </si>
  <si>
    <t>Boa Safra</t>
  </si>
  <si>
    <t>ASSOCIAÇÃO 48</t>
  </si>
  <si>
    <t>Edivaldo Felix Batista</t>
  </si>
  <si>
    <t>ASSOCIAÇÃO 49</t>
  </si>
  <si>
    <t>RELATÓRIO 01</t>
  </si>
  <si>
    <t>Antônio Alesandro Silva</t>
  </si>
  <si>
    <t>ASSOCIAÇÃO 50</t>
  </si>
  <si>
    <t>ACLOLICAM</t>
  </si>
  <si>
    <t>Meta 7</t>
  </si>
  <si>
    <t>Francisco Elias</t>
  </si>
  <si>
    <t>Envolver estudantes dos cursos superiores das ciências agrárias em atividades práticas de extensão no projeto.</t>
  </si>
  <si>
    <t>RELATÓRIO 02</t>
  </si>
  <si>
    <t>ARME</t>
  </si>
  <si>
    <t xml:space="preserve">José Antonio da Silva </t>
  </si>
  <si>
    <t>RELATÓRIO 03</t>
  </si>
  <si>
    <t>ACRUB</t>
  </si>
  <si>
    <t>ACRZS</t>
  </si>
  <si>
    <t>Eugênio Cavilia</t>
  </si>
  <si>
    <t>Meta 8</t>
  </si>
  <si>
    <t>Desenvolver e fomentar tecnologias aplicadas aos arranjos produtivos locais atendidos.</t>
  </si>
  <si>
    <t>Sergio Berkhamm</t>
  </si>
  <si>
    <t>APRERBRAL</t>
  </si>
  <si>
    <t>Joaquim Antonio de amorim</t>
  </si>
  <si>
    <t>Francisca Vanderleia de Souza</t>
  </si>
  <si>
    <t>CISAN</t>
  </si>
  <si>
    <t>ASPRONA</t>
  </si>
  <si>
    <t>Sandra Maria Hesketh</t>
  </si>
  <si>
    <t>ASPRUB</t>
  </si>
  <si>
    <t>Helena Maria Antunes</t>
  </si>
  <si>
    <t>Meta 9</t>
  </si>
  <si>
    <t>Administrar e gerir eficientemente o recurso</t>
  </si>
  <si>
    <t>Associação rural nova aliança</t>
  </si>
  <si>
    <t>CISAN ASPROPALMAS</t>
  </si>
  <si>
    <t>Ernandi Ramiro</t>
  </si>
  <si>
    <t>APRERBAL</t>
  </si>
  <si>
    <t>Derly Alves Teixeira</t>
  </si>
  <si>
    <t>ASPRUFAVI</t>
  </si>
  <si>
    <t xml:space="preserve">Renan Oliveira </t>
  </si>
  <si>
    <t xml:space="preserve">Altair de Jesus </t>
  </si>
  <si>
    <t>AGRILANÇA</t>
  </si>
  <si>
    <t>José Raimundo Pinheiro</t>
  </si>
  <si>
    <t>Meta 10</t>
  </si>
  <si>
    <t>Nomear, contratar e capacitar equipe de coordenadores para condução do projeto</t>
  </si>
  <si>
    <t>ASPROMOGG</t>
  </si>
  <si>
    <t>Gecildo Santiago</t>
  </si>
  <si>
    <t xml:space="preserve">Edilson Nunes </t>
  </si>
  <si>
    <t>BEM-TE-VI</t>
  </si>
  <si>
    <t>José Almir Leandro Da Silva</t>
  </si>
  <si>
    <t>Estefano Futerko</t>
  </si>
  <si>
    <t>RENASCER</t>
  </si>
  <si>
    <t>Edmilson Ribeiro Oliveira</t>
  </si>
  <si>
    <t>ASCLAPF</t>
  </si>
  <si>
    <t>CAFÉ D'ARC</t>
  </si>
  <si>
    <t>Aloncio Manoel Andrade</t>
  </si>
  <si>
    <t>Clevenilson Batista Ribeiro</t>
  </si>
  <si>
    <t>ASPRONÚCLEO</t>
  </si>
  <si>
    <t>Valdeci Ferreira da Silva</t>
  </si>
  <si>
    <t>José Carlos de Oliveira</t>
  </si>
  <si>
    <t>ASPROMA</t>
  </si>
  <si>
    <t xml:space="preserve">Edinei Alves </t>
  </si>
  <si>
    <t>APRUNE</t>
  </si>
  <si>
    <t>Edinaldo Silvestre</t>
  </si>
  <si>
    <t>APRONA Vale do Sol</t>
  </si>
  <si>
    <t>Moisés Vieira Rolim</t>
  </si>
  <si>
    <t xml:space="preserve">Alan Márcio Rosa </t>
  </si>
  <si>
    <t>Savio Vieira dos Santos</t>
  </si>
  <si>
    <t>BOA SAFRA</t>
  </si>
  <si>
    <t>André Junior</t>
  </si>
  <si>
    <t>ASDAMOR</t>
  </si>
  <si>
    <t>Anderson Lenke Stiner</t>
  </si>
  <si>
    <t>Valdeci Candido de Souza</t>
  </si>
  <si>
    <t>Peq. Produtores - APAR</t>
  </si>
  <si>
    <t>ASPROL São Sebastião</t>
  </si>
  <si>
    <t>Vanderlei Candido Da Silva</t>
  </si>
  <si>
    <t>Jackson Junior Serafim</t>
  </si>
  <si>
    <t>ASPARSD</t>
  </si>
  <si>
    <t>José Luiz Vicente Da Silva</t>
  </si>
  <si>
    <t>Robson Lopes Caetano</t>
  </si>
  <si>
    <t>ASMEPROL</t>
  </si>
  <si>
    <t xml:space="preserve">André Silva </t>
  </si>
  <si>
    <t>ASPRUT</t>
  </si>
  <si>
    <t>Antonio Muniz dos Reis</t>
  </si>
  <si>
    <t>ARGLEC</t>
  </si>
  <si>
    <t>Ledino Francisco</t>
  </si>
  <si>
    <t>AFREPRO</t>
  </si>
  <si>
    <t>Marinaldo Andrade</t>
  </si>
  <si>
    <t>ASPROPÃ</t>
  </si>
  <si>
    <t>Leandro Neves de Souza</t>
  </si>
  <si>
    <t xml:space="preserve">Claudio Roberto </t>
  </si>
  <si>
    <t>ASPROCAR</t>
  </si>
  <si>
    <t>Caio da Silveira Leal</t>
  </si>
  <si>
    <t>ASPROL Nova Esperança</t>
  </si>
  <si>
    <t>Rodrigo Estevão</t>
  </si>
  <si>
    <t>José Mario da Silva</t>
  </si>
  <si>
    <t>COOPERLAT</t>
  </si>
  <si>
    <t>Romildo gomes de Oliveira</t>
  </si>
  <si>
    <t>ASPROL</t>
  </si>
  <si>
    <t>Adilando Rodrigues do Santos</t>
  </si>
  <si>
    <t>UNIVER</t>
  </si>
  <si>
    <t>Claudio Francisco</t>
  </si>
  <si>
    <t>ARCI</t>
  </si>
  <si>
    <t>Ana Cristina da Fonseca</t>
  </si>
  <si>
    <t>Fabiano Oliveira Lopes</t>
  </si>
  <si>
    <t>ASPRULT</t>
  </si>
  <si>
    <t>José Carlos Zaniboni</t>
  </si>
  <si>
    <t>José Pereira Do Santos</t>
  </si>
  <si>
    <t>APARAR</t>
  </si>
  <si>
    <t xml:space="preserve">Eliel Gomes de Oliveira </t>
  </si>
  <si>
    <t>APRIGO</t>
  </si>
  <si>
    <t>Cezar Mendes Cabral</t>
  </si>
  <si>
    <t>AMPRUBS</t>
  </si>
  <si>
    <t>Amario Figueiro dos Santos</t>
  </si>
  <si>
    <t>Darci Gomes de Oliveira</t>
  </si>
  <si>
    <t>Braço Forte</t>
  </si>
  <si>
    <t>Claudemir Monteiro</t>
  </si>
  <si>
    <t>Joao Gomes de Oliveira</t>
  </si>
  <si>
    <t>AJPROPAN</t>
  </si>
  <si>
    <t>Fernanda Andrade</t>
  </si>
  <si>
    <t>José Weliton F. dos Santos</t>
  </si>
  <si>
    <t>ASPRORIO</t>
  </si>
  <si>
    <t>Joeliton Oliveira</t>
  </si>
  <si>
    <t>Joselito Alves Gonçalves</t>
  </si>
  <si>
    <t>ASPRED</t>
  </si>
  <si>
    <t>Ernildo Celio Pasqual</t>
  </si>
  <si>
    <t>ASPRUANC</t>
  </si>
  <si>
    <t>Alminton Conceição</t>
  </si>
  <si>
    <t>CAÇULA</t>
  </si>
  <si>
    <t>Francisco Araujo de Souza</t>
  </si>
  <si>
    <t>Dorival Melo</t>
  </si>
  <si>
    <t>VALE DO BARROSO</t>
  </si>
  <si>
    <t>Ducce Brito</t>
  </si>
  <si>
    <t>AAPA</t>
  </si>
  <si>
    <t>Manoel da Silva Braga</t>
  </si>
  <si>
    <t>Ciro da Silva Carneiro</t>
  </si>
  <si>
    <t>APRUBU</t>
  </si>
  <si>
    <t xml:space="preserve">Francisca Matilda </t>
  </si>
  <si>
    <t xml:space="preserve">Amanda de Souza Sena </t>
  </si>
  <si>
    <t>APLAC</t>
  </si>
  <si>
    <t>Paulo Roberto</t>
  </si>
  <si>
    <t>Leilson da Silva Araujo</t>
  </si>
  <si>
    <t>ALA</t>
  </si>
  <si>
    <t>Luiz Paulo Afonso</t>
  </si>
  <si>
    <t>Ramiro Moreira da Silva</t>
  </si>
  <si>
    <t>POVO UNIDO</t>
  </si>
  <si>
    <t>Claudinei Luiz da Silva</t>
  </si>
  <si>
    <t>Eliezer Libano de Souza</t>
  </si>
  <si>
    <t>APRUMACA</t>
  </si>
  <si>
    <t>Silene Pantoge de Araujo</t>
  </si>
  <si>
    <t>Valdemar C. de Carvalho</t>
  </si>
  <si>
    <t>ASPROL Cujubinzinho</t>
  </si>
  <si>
    <t>Adilson dos Santos</t>
  </si>
  <si>
    <t>Cícero lima Sales</t>
  </si>
  <si>
    <t>Comunidade São Sebastião</t>
  </si>
  <si>
    <t>Jó Anemias B. da Silva</t>
  </si>
  <si>
    <t>ASPROMOG</t>
  </si>
  <si>
    <t>Vieles Markelles da Silva C.</t>
  </si>
  <si>
    <t>ASDAPORVEL</t>
  </si>
  <si>
    <t>Maria Edinelva dos S. Maciel</t>
  </si>
  <si>
    <t>Leila Maria Borges de A.</t>
  </si>
  <si>
    <t xml:space="preserve">Juarez Gonçalves </t>
  </si>
  <si>
    <t>CAFÉ DARK</t>
  </si>
  <si>
    <t xml:space="preserve">Marcio Batista Pereira </t>
  </si>
  <si>
    <t>ASPROCIGUEL</t>
  </si>
  <si>
    <t xml:space="preserve">Rayane Almeida dos Santos </t>
  </si>
  <si>
    <t>ASPAPORVEL</t>
  </si>
  <si>
    <t>Tatijane Ferreira</t>
  </si>
  <si>
    <t>ASPRONIÃ</t>
  </si>
  <si>
    <t xml:space="preserve">Gracilda Nascimento S. </t>
  </si>
  <si>
    <t>Jeremias Souza de Santos</t>
  </si>
  <si>
    <t>COOPPEIXE</t>
  </si>
  <si>
    <t>Marcos Cézar Delfino Moreira</t>
  </si>
  <si>
    <t>Jociele Ribeiro Alves</t>
  </si>
  <si>
    <t>AAFFA</t>
  </si>
  <si>
    <t>Angelina de Lima da Silva</t>
  </si>
  <si>
    <t>Suely Alfaia Brasil</t>
  </si>
  <si>
    <t>APRONVIDA</t>
  </si>
  <si>
    <t>ASPROL NOVA ESPERANÇA</t>
  </si>
  <si>
    <t>Paulo Pereira Rodrigues</t>
  </si>
  <si>
    <t>ARUVE</t>
  </si>
  <si>
    <t>Eliabe Ferreira da Silva</t>
  </si>
  <si>
    <t>Silvanete J. Ribeiro</t>
  </si>
  <si>
    <t>Deuzimar Queiros de Souza</t>
  </si>
  <si>
    <t>APRUSM</t>
  </si>
  <si>
    <t>Raimunda Botelho da Silva</t>
  </si>
  <si>
    <t>Conceição de Maria</t>
  </si>
  <si>
    <t>AGRIFACHIM</t>
  </si>
  <si>
    <t>Eliane de Oliveira Martins</t>
  </si>
  <si>
    <t>Flavio Rodrigues</t>
  </si>
  <si>
    <t>APRAPV</t>
  </si>
  <si>
    <t xml:space="preserve">José Santos da Silva </t>
  </si>
  <si>
    <t>Sebastião Gomes Rodrigues</t>
  </si>
  <si>
    <t>APROPERO</t>
  </si>
  <si>
    <t>Ezequiel rufino</t>
  </si>
  <si>
    <t>NOVA ESPERANÇA</t>
  </si>
  <si>
    <t xml:space="preserve">Davi dos Santos </t>
  </si>
  <si>
    <t>Luciene Ferreira de Oliveira</t>
  </si>
  <si>
    <t>ASPRUCAVE</t>
  </si>
  <si>
    <t>ASPROGOVJT</t>
  </si>
  <si>
    <t>APCSA</t>
  </si>
  <si>
    <t>ASPRURA</t>
  </si>
  <si>
    <t>DESENVOLVER</t>
  </si>
  <si>
    <t>NOVA VIDA</t>
  </si>
  <si>
    <t>Danilo Lemos da Silva</t>
  </si>
  <si>
    <t>ASPROJU</t>
  </si>
  <si>
    <t>Guilherme Benelli de Azevedo</t>
  </si>
  <si>
    <t>Cosme Alves Lima</t>
  </si>
  <si>
    <t>ASPLA</t>
  </si>
  <si>
    <t>Gabriel Mazurek Lima</t>
  </si>
  <si>
    <t>Francisco Gomes Neto</t>
  </si>
  <si>
    <t>APRULINS</t>
  </si>
  <si>
    <t>Gilson Ribeiro De Oliveira</t>
  </si>
  <si>
    <t>Diego Kerber Rech</t>
  </si>
  <si>
    <t>Vale Barroso</t>
  </si>
  <si>
    <t>ASPRANE</t>
  </si>
  <si>
    <t>Jeferson Berwanger Kerber</t>
  </si>
  <si>
    <t>ASPRUBE</t>
  </si>
  <si>
    <t>Eriton Berwanger Kerber</t>
  </si>
  <si>
    <t>APRUM</t>
  </si>
  <si>
    <t>Ederson Berwanger Kerber</t>
  </si>
  <si>
    <t>APRUCBOP</t>
  </si>
  <si>
    <t>Ivo Lunelli</t>
  </si>
  <si>
    <t>Tiago Rafael Gomes</t>
  </si>
  <si>
    <t>ASPROLI 44</t>
  </si>
  <si>
    <t>Angelica Afonso Neves</t>
  </si>
  <si>
    <t>vale Barroso</t>
  </si>
  <si>
    <t>APRUNO</t>
  </si>
  <si>
    <t xml:space="preserve">Bruno Neves Santos </t>
  </si>
  <si>
    <t>ASPRAU</t>
  </si>
  <si>
    <t>Orlando Afonso Neves</t>
  </si>
  <si>
    <t>ASPRUMA</t>
  </si>
  <si>
    <t>José Lomba Zanote</t>
  </si>
  <si>
    <t xml:space="preserve">Paulo Sergio Machado </t>
  </si>
  <si>
    <t>ASPRUPU</t>
  </si>
  <si>
    <t>Maria Das Dores Silva De Melo</t>
  </si>
  <si>
    <t>APRONZE</t>
  </si>
  <si>
    <t>Glorina Rodrigues de Oliveira</t>
  </si>
  <si>
    <t>APROLEITE</t>
  </si>
  <si>
    <t>Jorge Rodrigues De Oliveira</t>
  </si>
  <si>
    <t>ARVOPAM</t>
  </si>
  <si>
    <t>Raimundo Nelson Magalhaes Filho</t>
  </si>
  <si>
    <t>APRUEST</t>
  </si>
  <si>
    <t>Eli Assunção Arci</t>
  </si>
  <si>
    <t xml:space="preserve">Maria Raimunda Paixâo </t>
  </si>
  <si>
    <t>APRUCAVE</t>
  </si>
  <si>
    <t>Jose Elias Ferreira</t>
  </si>
  <si>
    <t>AMPRUCOSS</t>
  </si>
  <si>
    <t>ASPRUC</t>
  </si>
  <si>
    <t>Everton Ramos Lobato</t>
  </si>
  <si>
    <t>ASPRANAR</t>
  </si>
  <si>
    <t>Rossy Paulo Meati Garcia</t>
  </si>
  <si>
    <t>ASPRUVINCON</t>
  </si>
  <si>
    <t>Simone Limo Ferreira</t>
  </si>
  <si>
    <t>ASPRONASC</t>
  </si>
  <si>
    <t xml:space="preserve">Raimunda Nonato </t>
  </si>
  <si>
    <t>ASPRONOV</t>
  </si>
  <si>
    <t>José Jesus Rocha</t>
  </si>
  <si>
    <t>ASPRULB</t>
  </si>
  <si>
    <t>Rosana Correia de Lima</t>
  </si>
  <si>
    <t>José Hilton Rabelo Carneiro</t>
  </si>
  <si>
    <t>ASPRUENTE</t>
  </si>
  <si>
    <t>Maria Rabelo Ferreira</t>
  </si>
  <si>
    <t>ASPROL Rio Pardo</t>
  </si>
  <si>
    <t>Raimundo Nonato dos Santos</t>
  </si>
  <si>
    <t>ASPRONA Vale do Sol</t>
  </si>
  <si>
    <t>Raimundo Helio Carneiro</t>
  </si>
  <si>
    <t>Jorge Luiz Ramos</t>
  </si>
  <si>
    <t>ASPRONEP</t>
  </si>
  <si>
    <t>José Rabelo Ferreira</t>
  </si>
  <si>
    <t>ASPROC</t>
  </si>
  <si>
    <t>Luiz Antonio de Azevedo</t>
  </si>
  <si>
    <t>ADOLICAM</t>
  </si>
  <si>
    <t>Elizete Maria da Silva</t>
  </si>
  <si>
    <t>ASPROPALMAS</t>
  </si>
  <si>
    <t>Maria Aparecida Vieira</t>
  </si>
  <si>
    <t>Romario Santos do Carmo</t>
  </si>
  <si>
    <t>Adriano Vieira da Silva</t>
  </si>
  <si>
    <t>José Francisco de Jesus</t>
  </si>
  <si>
    <t xml:space="preserve">José Ronaldo Batista </t>
  </si>
  <si>
    <t>Ademir Gomes da Costa</t>
  </si>
  <si>
    <t>ASPRUCA</t>
  </si>
  <si>
    <t xml:space="preserve">Jânio Fábio Pereira </t>
  </si>
  <si>
    <t>José Madalena Moreira sousa</t>
  </si>
  <si>
    <t xml:space="preserve">Romário Geraldo Ferreira </t>
  </si>
  <si>
    <t>Jorge Correia de Lima</t>
  </si>
  <si>
    <t xml:space="preserve">Valério Moreira de Sousa </t>
  </si>
  <si>
    <t xml:space="preserve">APRULINS </t>
  </si>
  <si>
    <t>Laercio Santos Coimbra</t>
  </si>
  <si>
    <t>Overlam Cearense Gomes</t>
  </si>
  <si>
    <t>APAR</t>
  </si>
  <si>
    <t xml:space="preserve">Ilson Oliveira Nascimento </t>
  </si>
  <si>
    <t xml:space="preserve">Wanderlei José Rocha </t>
  </si>
  <si>
    <t xml:space="preserve">Atos Antônio de Souza </t>
  </si>
  <si>
    <t>APRUVAP</t>
  </si>
  <si>
    <t xml:space="preserve">Silvano Sabino Pereira </t>
  </si>
  <si>
    <t xml:space="preserve">Elessandro Batista Neves </t>
  </si>
  <si>
    <t>APROCUM</t>
  </si>
  <si>
    <t xml:space="preserve">Eliel Marcos Freire </t>
  </si>
  <si>
    <t>Ademir Ferraz Ramos</t>
  </si>
  <si>
    <t>ACMC</t>
  </si>
  <si>
    <t>Albino Oleias</t>
  </si>
  <si>
    <t xml:space="preserve">Delvano Pereira Lima </t>
  </si>
  <si>
    <t>JAMAITO</t>
  </si>
  <si>
    <t xml:space="preserve">Orivaldo Saraiva </t>
  </si>
  <si>
    <t>José Vitor da Silva Bienashins</t>
  </si>
  <si>
    <t>ASPRIG</t>
  </si>
  <si>
    <t>Eronídio Gonzaga do Passos</t>
  </si>
  <si>
    <t>Valdemar Tavares do Passos</t>
  </si>
  <si>
    <t>ASPRORC</t>
  </si>
  <si>
    <t>Pedro Cordeiro de Aguiar</t>
  </si>
  <si>
    <t>ASPROBE</t>
  </si>
  <si>
    <t>Alexsandro Quirino de Oliveira</t>
  </si>
  <si>
    <t>Eliomar Fernandes</t>
  </si>
  <si>
    <t>COOPEMON</t>
  </si>
  <si>
    <t>Claudio Melo dos Santos</t>
  </si>
  <si>
    <t>Lazaro Daniel Ferreira</t>
  </si>
  <si>
    <t>ASPROVARIJA</t>
  </si>
  <si>
    <t>Elanes Viana da Costa</t>
  </si>
  <si>
    <t>Edino Carlos Moreno</t>
  </si>
  <si>
    <t>ASPRONONA</t>
  </si>
  <si>
    <t>Francisco Passos Coutinho</t>
  </si>
  <si>
    <t>Ezequias Rodrigues de Lima</t>
  </si>
  <si>
    <t>APRRER</t>
  </si>
  <si>
    <t>Dhairel Vieira Calazares</t>
  </si>
  <si>
    <t>Juscimara Campos</t>
  </si>
  <si>
    <t>COAPRUJAR</t>
  </si>
  <si>
    <t>Sara Pereira Gontijo</t>
  </si>
  <si>
    <t>Ricardo Bento Da Silva</t>
  </si>
  <si>
    <t>ASPROCABE</t>
  </si>
  <si>
    <t>Wilson Sebastião Silveira</t>
  </si>
  <si>
    <t>Antonio Firmino Fraga</t>
  </si>
  <si>
    <t>ASPROP</t>
  </si>
  <si>
    <t>Juarez da Luz Brandão</t>
  </si>
  <si>
    <t>Sonia Regina Gomes da Silva</t>
  </si>
  <si>
    <t>Unidos Venceremos I</t>
  </si>
  <si>
    <t>Vicente de Paulo Salvador</t>
  </si>
  <si>
    <t>Antonio José Barbosa</t>
  </si>
  <si>
    <t>ASPROCONSA</t>
  </si>
  <si>
    <t>Vania Brito da Silva</t>
  </si>
  <si>
    <t>ASPROL - São Sebastião</t>
  </si>
  <si>
    <t>Osmarina Da Silva Castro</t>
  </si>
  <si>
    <t>Cevita Carvalho</t>
  </si>
  <si>
    <t>ASPROVALE</t>
  </si>
  <si>
    <t>Maria Izete Sá</t>
  </si>
  <si>
    <t>Lucilene Viana</t>
  </si>
  <si>
    <t>ACDT</t>
  </si>
  <si>
    <t>Aroldo Melo de Araujo</t>
  </si>
  <si>
    <t>Michelina Carvalho</t>
  </si>
  <si>
    <t>AMPPROSS</t>
  </si>
  <si>
    <t>Raimunda Souza Conceição</t>
  </si>
  <si>
    <t>APRNM</t>
  </si>
  <si>
    <t>Luiz Gonzaga Melo</t>
  </si>
  <si>
    <t>Saulo de Tarso Pereira</t>
  </si>
  <si>
    <t>ASPRUJA</t>
  </si>
  <si>
    <t>Clefferson Alex Moreira</t>
  </si>
  <si>
    <t>APRORIO</t>
  </si>
  <si>
    <t>Leomar Pereira Souza</t>
  </si>
  <si>
    <t>Ivanilson Viana da Silva</t>
  </si>
  <si>
    <t>ASPREMM</t>
  </si>
  <si>
    <t>Valmira Moura Farias</t>
  </si>
  <si>
    <t>Silvia Regina Deuvanio</t>
  </si>
  <si>
    <t>Rosilene Frota Dos Santos</t>
  </si>
  <si>
    <t>Raimundo Rodrigues de Melo</t>
  </si>
  <si>
    <t>Pedro Teixeira da Silva</t>
  </si>
  <si>
    <t>Lucimar Ramos dos Santos</t>
  </si>
  <si>
    <t xml:space="preserve">Valcineia Maciel da Silva </t>
  </si>
  <si>
    <t>Cleiton dos Santos Abreu</t>
  </si>
  <si>
    <t>Josimar Strelow de Oliveira</t>
  </si>
  <si>
    <t>Sebastião Cupertino de Castro</t>
  </si>
  <si>
    <t>Adenilson Pereira dos Santos</t>
  </si>
  <si>
    <t>Daniel Augusto Guimarães</t>
  </si>
  <si>
    <t>Giovane Bonehenberger</t>
  </si>
  <si>
    <t>Valmir Brandt</t>
  </si>
  <si>
    <t>José Lima Souza Filho</t>
  </si>
  <si>
    <t xml:space="preserve">Oudado Paula Pereira </t>
  </si>
  <si>
    <t>Ivanete Oliveira Pinheiro</t>
  </si>
  <si>
    <t>Aparecido Alves Sobrinho</t>
  </si>
  <si>
    <t xml:space="preserve">Amilton Marcolino </t>
  </si>
  <si>
    <t>José Luiz Lopes</t>
  </si>
  <si>
    <t>Bruno José Matos Medeiros</t>
  </si>
  <si>
    <t>Livaldo José Caliman</t>
  </si>
  <si>
    <t>Hugo Matos Medeiros</t>
  </si>
  <si>
    <t>José aparecido Torquino</t>
  </si>
  <si>
    <t>João Roberto Baquerr</t>
  </si>
  <si>
    <t>Jopentes da Silva</t>
  </si>
  <si>
    <t>Edson Ambroso do Nascimento</t>
  </si>
  <si>
    <t>Josué Felipe Santiago</t>
  </si>
  <si>
    <t>Cicero Alburquerque Florentino</t>
  </si>
  <si>
    <t>Wallas Teixeira Nunes</t>
  </si>
  <si>
    <t>Marlene Caetano da Silva</t>
  </si>
  <si>
    <t>Jorge Cabloco de Almeida</t>
  </si>
  <si>
    <t xml:space="preserve">Cicero Silva do Santos </t>
  </si>
  <si>
    <t>José Maria Cordeiro</t>
  </si>
  <si>
    <t>Igor Teixeira Alves</t>
  </si>
  <si>
    <t>Manoel dos Passos Xavier Teixeira</t>
  </si>
  <si>
    <t>Zildeu Pinheiro Rodrigues</t>
  </si>
  <si>
    <t>Vicente Lopes da Costa</t>
  </si>
  <si>
    <t>Aparecido de Dionisio Nunes</t>
  </si>
  <si>
    <t xml:space="preserve">Calvin Rodrigues </t>
  </si>
  <si>
    <t>Dione Nunes da Silva</t>
  </si>
  <si>
    <t>Genival Costa</t>
  </si>
  <si>
    <t>Raimundo Lima de Oliveira</t>
  </si>
  <si>
    <t>Hélio Antonio de Brito</t>
  </si>
  <si>
    <t>Jeovani Tomazzi</t>
  </si>
  <si>
    <t>Antonio Vieira Barbosa</t>
  </si>
  <si>
    <t>Carmelito Araujo de Oliveira</t>
  </si>
  <si>
    <t>Manoel Clemildo Braga</t>
  </si>
  <si>
    <t>Ibernon Moura de Araujo</t>
  </si>
  <si>
    <t>Maria Soraia Neves</t>
  </si>
  <si>
    <t>Iraneide Cabral Fortes</t>
  </si>
  <si>
    <t>Ilsa Campos Martins</t>
  </si>
  <si>
    <t>Jonatan Cristian Neris</t>
  </si>
  <si>
    <t>João Farias Matos</t>
  </si>
  <si>
    <t>João Bastita Lacerda</t>
  </si>
  <si>
    <t>José Otávio da Silva</t>
  </si>
  <si>
    <t>Edvaldo Alves Ferreira</t>
  </si>
  <si>
    <t>Fabiano Bressiane</t>
  </si>
  <si>
    <t>Edinilson Siqueira</t>
  </si>
  <si>
    <t>João Batista de Almeida</t>
  </si>
  <si>
    <t>Genivaldo Silva De Souza</t>
  </si>
  <si>
    <t>Enio Soares de Moura</t>
  </si>
  <si>
    <t>Fernando Inacio Barbosa</t>
  </si>
  <si>
    <t>Nivaldo Gonçalves Fernandes</t>
  </si>
  <si>
    <t>Madalena Braga de Oliveira Souza</t>
  </si>
  <si>
    <t>Francisco Herculano de Oliveira</t>
  </si>
  <si>
    <t>Felipe Douglas Miranda</t>
  </si>
  <si>
    <t>Valter Gomes de Oliveira</t>
  </si>
  <si>
    <t>Roberto Carlos Monteiro</t>
  </si>
  <si>
    <t>Neuza Aparecida de Paula</t>
  </si>
  <si>
    <t>Socorro Sales da Cruz</t>
  </si>
  <si>
    <t>Claudenir Pereira Passos</t>
  </si>
  <si>
    <t>Maria Antonia Silva Pereira</t>
  </si>
  <si>
    <t>Mirian Fernandes Vidal</t>
  </si>
  <si>
    <t>Davi Pereira da Silva</t>
  </si>
  <si>
    <t>ASPRONIA</t>
  </si>
  <si>
    <t>Junior Souza do Norte</t>
  </si>
  <si>
    <t>Luzia Alves de Souza</t>
  </si>
  <si>
    <t>Antonio Martins Lima</t>
  </si>
  <si>
    <t>André Luiz de Araujo Santos</t>
  </si>
  <si>
    <t>Maria Gomes da Silva</t>
  </si>
  <si>
    <t>Eucilene Oliveira Rocha</t>
  </si>
  <si>
    <t>Fabio Lucas de Aquino</t>
  </si>
  <si>
    <t>Patricia Almeida de Souza</t>
  </si>
  <si>
    <t>Gilvanei Rodrigues Dos Santos</t>
  </si>
  <si>
    <t>João Carmo Martins Da Costa</t>
  </si>
  <si>
    <t>Rogerio dos Santos Timotio</t>
  </si>
  <si>
    <t>Francisco Gomes Monteiro</t>
  </si>
  <si>
    <t>João Pantoja Monteiro</t>
  </si>
  <si>
    <t>Raimunda Gomes Rodrigues</t>
  </si>
  <si>
    <t>Celio Gomes Rodrigues</t>
  </si>
  <si>
    <t>Luiz Gomes Monteiro</t>
  </si>
  <si>
    <t>Oziel Nogueira de Souza</t>
  </si>
  <si>
    <t>Joares Rodrigues Coelho</t>
  </si>
  <si>
    <t>Lazaro Barbosa Teles</t>
  </si>
  <si>
    <t>Antonio Barbosa Teles</t>
  </si>
  <si>
    <t>Manuel Bispo de Jesus</t>
  </si>
  <si>
    <t>Gino de Araujo Correia Junior</t>
  </si>
  <si>
    <t>Paulo Moura Ribeiro</t>
  </si>
  <si>
    <t>Josimar Bispo de Sousa</t>
  </si>
  <si>
    <t>Adeilton Rodrigues Coelho</t>
  </si>
  <si>
    <t>Francisco Silva</t>
  </si>
  <si>
    <t>Alex Santos Barbosa</t>
  </si>
  <si>
    <t>Maxsuel Adriano de Paula</t>
  </si>
  <si>
    <t>Nivaldo Rodrigues Coelho</t>
  </si>
  <si>
    <t>Almerindo Rodrigues Coelho</t>
  </si>
  <si>
    <t>Luziene Lopes Santos</t>
  </si>
  <si>
    <t>Sinezio Viana Teles</t>
  </si>
  <si>
    <t>Jobson Alves</t>
  </si>
  <si>
    <t>Edivando Medina de Souza</t>
  </si>
  <si>
    <t>Davi Santana da Silva</t>
  </si>
  <si>
    <t>Nilson Wiliam Kreitlow Cortes</t>
  </si>
  <si>
    <t>Devan Martins Nunes</t>
  </si>
  <si>
    <t>Wellington de Souza Etelvino</t>
  </si>
  <si>
    <t>Cleuza Alves Ferreira</t>
  </si>
  <si>
    <t>Davi Santos da Silva</t>
  </si>
  <si>
    <t>Adeildo Saraiva Correia</t>
  </si>
  <si>
    <t>Joana Dark de Souza Negreiro Pereira</t>
  </si>
  <si>
    <t>Saulo Alves</t>
  </si>
  <si>
    <t>Marloni Roberto de Faria</t>
  </si>
  <si>
    <t>Jailton Costa Lima</t>
  </si>
  <si>
    <t>Mirene da Penha Francisca Dias Ribeiro</t>
  </si>
  <si>
    <t>Antonio Charles Souza</t>
  </si>
  <si>
    <t>Jean Lopes Moreira Martins</t>
  </si>
  <si>
    <t>Hueberson Kester</t>
  </si>
  <si>
    <t>Ronaldo Castorino Cordeiro</t>
  </si>
  <si>
    <t>André Junior Nascimento Martins Rocha</t>
  </si>
  <si>
    <t>Mauro Sérgio Kester</t>
  </si>
  <si>
    <t>Socrates Carmim</t>
  </si>
  <si>
    <t>Nilo Somera</t>
  </si>
  <si>
    <t>Josimar dos Santos de Oliveira</t>
  </si>
  <si>
    <t>Idenildes Sardinha Marianho</t>
  </si>
  <si>
    <t>Djalma Rosa de Avelar</t>
  </si>
  <si>
    <t>Valdeir Dorneles de Araujo</t>
  </si>
  <si>
    <t>José Edson de Souza</t>
  </si>
  <si>
    <t>Jonas Silva dos Santos</t>
  </si>
  <si>
    <t>Maria Ilza da Penha Andrade</t>
  </si>
  <si>
    <t>Maria da Anunciação</t>
  </si>
  <si>
    <t>Gilson Aparecido da Silva</t>
  </si>
  <si>
    <t>Gislaine Aparecida da Silva do Nascimento</t>
  </si>
  <si>
    <t>Geberson Bidal do Nascimento</t>
  </si>
  <si>
    <t>Marcilene Alves de Almeida</t>
  </si>
  <si>
    <t>Lindoir Martins Cabral</t>
  </si>
  <si>
    <t>Francilene Alves de Almeida</t>
  </si>
  <si>
    <t>Geisilaine Aparecida da Silva</t>
  </si>
  <si>
    <t>Francisco Martins de Almeida</t>
  </si>
  <si>
    <t>Maria Aparecida dos Reis</t>
  </si>
  <si>
    <t>Ediocresio Xavier Borba</t>
  </si>
  <si>
    <t>Marta Nunes Rocha</t>
  </si>
  <si>
    <t>Edileudo Lopes dos Santos</t>
  </si>
  <si>
    <t>Renato Pereira dos Santos</t>
  </si>
  <si>
    <t>Maria Cilza de Oliveira</t>
  </si>
  <si>
    <t>Marileide Regina Grespan</t>
  </si>
  <si>
    <t>Edson Manoel de Oliveira</t>
  </si>
  <si>
    <t>Ricardo Lincoln Barcelos</t>
  </si>
  <si>
    <t>Diego Rocha Correa</t>
  </si>
  <si>
    <t>Valdemir Vieira</t>
  </si>
  <si>
    <t>Cleidimar Silva Martins</t>
  </si>
  <si>
    <t>EVA Mongelo Maia</t>
  </si>
  <si>
    <t xml:space="preserve">Amanda Rodrigues </t>
  </si>
  <si>
    <t>Joaquim Macedo de Araujo</t>
  </si>
  <si>
    <t>Adelino Francisco Diniz</t>
  </si>
  <si>
    <t>Valdeir Pereira Gomes</t>
  </si>
  <si>
    <t>Ezequiel Alves Machado Schulz</t>
  </si>
  <si>
    <t>Vagner Cardoso Damacena</t>
  </si>
  <si>
    <t>Weverton de Jesus Dutra</t>
  </si>
  <si>
    <t>Lazaro Francisco de Jesus</t>
  </si>
  <si>
    <t>Sergio Pereira de Souza</t>
  </si>
  <si>
    <t>Selma Libertina de Jesus Dias</t>
  </si>
  <si>
    <t>Carlos Alexandre Saether</t>
  </si>
  <si>
    <t xml:space="preserve">Antonio Mateus Viana </t>
  </si>
  <si>
    <t>Maria de Fatima da Silva Castro</t>
  </si>
  <si>
    <t>Daniel dos Santos</t>
  </si>
  <si>
    <t>Antonio Dutra Neto</t>
  </si>
  <si>
    <t>Euzenir Amorim Santos</t>
  </si>
  <si>
    <t>Carlos Alberto Dias Soté</t>
  </si>
  <si>
    <t>José Antonio da Luz</t>
  </si>
  <si>
    <t>Rosevaldo Lourenço de Souza</t>
  </si>
  <si>
    <t>Adenilson Diniz</t>
  </si>
  <si>
    <t>Adenilson Dinis</t>
  </si>
  <si>
    <t>Manoel Fernandes Pereira</t>
  </si>
  <si>
    <t>Ulisses Manoel de Sá Teles</t>
  </si>
  <si>
    <t>Amauricio Ramos Gomes</t>
  </si>
  <si>
    <t>Joedes Vieira de Assis</t>
  </si>
  <si>
    <t xml:space="preserve">Luiz Nelio dos Santos </t>
  </si>
  <si>
    <t>Iria Prediber</t>
  </si>
  <si>
    <t>Olimpio Jeronimo Santos</t>
  </si>
  <si>
    <t>Jeferson Soares Batista</t>
  </si>
  <si>
    <t>Gilceu Mazzorana</t>
  </si>
  <si>
    <t>Izaias Fernandes Barbosa</t>
  </si>
  <si>
    <t>Renan Cavalcante</t>
  </si>
  <si>
    <t>Cleuber Carlos Feitosa</t>
  </si>
  <si>
    <t>Ronaldo da silva Gareti</t>
  </si>
  <si>
    <t>Jailson Lopes Feitosa</t>
  </si>
  <si>
    <t>Gilson guilherme</t>
  </si>
  <si>
    <t>Elaine Cristina da Silva</t>
  </si>
  <si>
    <t>Geraldo Soares dos Santos</t>
  </si>
  <si>
    <t>Jacson Teixeira Torres</t>
  </si>
  <si>
    <t>Tarcisio Luiz de lima</t>
  </si>
  <si>
    <t>Douglas Rossamai da Silva</t>
  </si>
  <si>
    <t>LEONARDO DE SOUZA SILVA</t>
  </si>
  <si>
    <t xml:space="preserve">Robson Montanari </t>
  </si>
  <si>
    <t>Rodrido Pagnocelli</t>
  </si>
  <si>
    <t>Lindaura kipper</t>
  </si>
  <si>
    <t>Salustriano Gomes da Silva</t>
  </si>
  <si>
    <t xml:space="preserve">Neusa Aparecida de Souza </t>
  </si>
  <si>
    <t>Marcos Antonio Magalhães</t>
  </si>
  <si>
    <t>Gilmar de Souza Messias</t>
  </si>
  <si>
    <t xml:space="preserve">Gilberto de Souza </t>
  </si>
  <si>
    <t>Valdemir oliveira da silva</t>
  </si>
  <si>
    <t>Wanderson Gonçalves de Souza</t>
  </si>
  <si>
    <t>APROSCONSA</t>
  </si>
  <si>
    <t>ADair Alves Ferreira</t>
  </si>
  <si>
    <t>Fabricio Sperotto Pesca</t>
  </si>
  <si>
    <t>Giovane Souza Batista</t>
  </si>
  <si>
    <t>Adilsom Tavares dos Passos</t>
  </si>
  <si>
    <t xml:space="preserve">Westioni Tavares </t>
  </si>
  <si>
    <t>Anderson Pereira Souza</t>
  </si>
  <si>
    <t>Francisco Justino Alves</t>
  </si>
  <si>
    <t>José cassemiro Neto</t>
  </si>
  <si>
    <t>Claudeci Tavares Barbosa</t>
  </si>
  <si>
    <t xml:space="preserve">Gilson Senhorim Alves </t>
  </si>
  <si>
    <t>Paulo Cesar Martins</t>
  </si>
  <si>
    <t>Hugo Dias Vieira</t>
  </si>
  <si>
    <t>Gnaldo Ferreira de Souza</t>
  </si>
  <si>
    <t xml:space="preserve">Abenis Gonçalves da Costa </t>
  </si>
  <si>
    <t>João Ferreira dos Santos</t>
  </si>
  <si>
    <t>Caulde Marques Cardoso da Rocha</t>
  </si>
  <si>
    <t>Haroldo Lacerda Silveira</t>
  </si>
  <si>
    <t xml:space="preserve">Ricardo Silva da Rocha </t>
  </si>
  <si>
    <t>Nilson Fernandes de Alm</t>
  </si>
  <si>
    <t xml:space="preserve">Amiel Rodrigues Vieira </t>
  </si>
  <si>
    <t>ASPROCAVE</t>
  </si>
  <si>
    <t>Eduardo Henrique Nunes</t>
  </si>
  <si>
    <t>Keila Carvalho Araujo de Souza</t>
  </si>
  <si>
    <t>Aderso Yzidorio</t>
  </si>
  <si>
    <t xml:space="preserve">Ronaldo Pereira de Souza </t>
  </si>
  <si>
    <t>Fabio Adriano Ramos</t>
  </si>
  <si>
    <t>Gedeon Sossai da Costa</t>
  </si>
  <si>
    <t xml:space="preserve">Vanessa Benfica Costa </t>
  </si>
  <si>
    <t>Odete Maria de paulo</t>
  </si>
  <si>
    <t xml:space="preserve">Milton Baboasa de Souza </t>
  </si>
  <si>
    <t>Gediel Anerio Vidal</t>
  </si>
  <si>
    <t>Moacir Gomes Alves</t>
  </si>
  <si>
    <t xml:space="preserve">José Carlos Moraes </t>
  </si>
  <si>
    <t>Andersom da Silva Rafalski</t>
  </si>
  <si>
    <t>Fabiano Firme Dias</t>
  </si>
  <si>
    <t xml:space="preserve">Wermeson José Conte </t>
  </si>
  <si>
    <t>Gerson Pinto de Freitas</t>
  </si>
  <si>
    <t>Maria da Penha Firme</t>
  </si>
  <si>
    <t>Expedito Pereira Borges</t>
  </si>
  <si>
    <t>Dirceu Francisco Gonçalves</t>
  </si>
  <si>
    <t>Clauremir da Costa Casula</t>
  </si>
  <si>
    <t>Loriane Burgarelli</t>
  </si>
  <si>
    <t>Eugenio da Silva Cassiano</t>
  </si>
  <si>
    <t>APRONZA</t>
  </si>
  <si>
    <t>Miguel Lopes dos Santos</t>
  </si>
  <si>
    <t>Adilson Bernardo</t>
  </si>
  <si>
    <t>Marcelino Do Nasicmento Gomes</t>
  </si>
  <si>
    <t>José Nilton Ferreira Miran</t>
  </si>
  <si>
    <t>Vagno Pereira de Souza</t>
  </si>
  <si>
    <t>Eneias Souza Ferreira</t>
  </si>
  <si>
    <t>Alex pereira de Souza</t>
  </si>
  <si>
    <t>José Saae de Souza</t>
  </si>
  <si>
    <t>Jozimar Alves Dias</t>
  </si>
  <si>
    <t>Glauciene Stofell Lamborgini</t>
  </si>
  <si>
    <t>Gemildo Ferreira Cardoso</t>
  </si>
  <si>
    <t>Eduardo Cortes Ferreira</t>
  </si>
  <si>
    <t>Celson Helio Fernandes da Costa</t>
  </si>
  <si>
    <t>Vagno da Silva Abilio</t>
  </si>
  <si>
    <t>Eliete Rodrigues Ronquete</t>
  </si>
  <si>
    <t>Jurandir Rodriques da silva</t>
  </si>
  <si>
    <t>Leandro Avelino Martins</t>
  </si>
  <si>
    <t>Antonio Martins Dutra</t>
  </si>
  <si>
    <t>João Pedro Ribeiro</t>
  </si>
  <si>
    <t>Antonio Pedro Vitor</t>
  </si>
  <si>
    <t>Maria Aparecida de Abreu</t>
  </si>
  <si>
    <t>Ricardo Alan Vitor</t>
  </si>
  <si>
    <t>Gisley Aparecido Grippa</t>
  </si>
  <si>
    <t>Antonio Grippa</t>
  </si>
  <si>
    <t>Elis Regina Manzoli Dos Santos</t>
  </si>
  <si>
    <t>rosenildo Lucas Damaceno</t>
  </si>
  <si>
    <t>Elias Simionato</t>
  </si>
  <si>
    <t xml:space="preserve">Cristiano Dorcilio M </t>
  </si>
  <si>
    <t xml:space="preserve">Néri Martins de Oliveira </t>
  </si>
  <si>
    <t>Tiago Monteiro</t>
  </si>
  <si>
    <t>Tiago Ribeiro</t>
  </si>
  <si>
    <t>Vanderson Oliveira Aguiar</t>
  </si>
  <si>
    <t>Evandro Damaceno Da Costa</t>
  </si>
  <si>
    <t>AUROPAM</t>
  </si>
  <si>
    <t>Claudecir da Silva Souza</t>
  </si>
  <si>
    <t xml:space="preserve">Mario Lopes Fernandes </t>
  </si>
  <si>
    <t>Sidnei da silva Souza</t>
  </si>
  <si>
    <t>Estevão Souza da Silva</t>
  </si>
  <si>
    <t>Daniel Claudino Da Gama</t>
  </si>
  <si>
    <t>Walter Fogues Gomes</t>
  </si>
  <si>
    <t>Mauricio de Oliveira</t>
  </si>
  <si>
    <t>Giovani T.soares</t>
  </si>
  <si>
    <t>Tainara Helena Tonete</t>
  </si>
  <si>
    <t>Edelir Stra Gevitch</t>
  </si>
  <si>
    <t xml:space="preserve">Jacir Lazarin </t>
  </si>
  <si>
    <t>Valdir Schirmer</t>
  </si>
  <si>
    <t>Waldir Calisto Ramos Neto</t>
  </si>
  <si>
    <t>Carlos José Gonçalves</t>
  </si>
  <si>
    <t>Joel Toneti</t>
  </si>
  <si>
    <t>Sidnei Eliezer</t>
  </si>
  <si>
    <t>Mario davidi Barcellos</t>
  </si>
  <si>
    <t>Emerson Fabrício da Silva</t>
  </si>
  <si>
    <t>Josenir Borges Pereira</t>
  </si>
  <si>
    <t>APRULB</t>
  </si>
  <si>
    <t>Joel Costa dos Santos</t>
  </si>
  <si>
    <t>Sandro Rodrigues de Jesus</t>
  </si>
  <si>
    <t>João Vieira Leal</t>
  </si>
  <si>
    <t>Agnaldo Rodrigues Leal</t>
  </si>
  <si>
    <t>Hermes Vitorino de Oliveira</t>
  </si>
  <si>
    <t>Jociel Barbosa de Jesus</t>
  </si>
  <si>
    <t>Sebastião Vitorino Filho</t>
  </si>
  <si>
    <t xml:space="preserve">Gilmar Vieira Leal </t>
  </si>
  <si>
    <t>Flavio Carvalho Vasconselhos</t>
  </si>
  <si>
    <t>Marilda Ana de Melo</t>
  </si>
  <si>
    <t>Flavia Ferreira Vitorino</t>
  </si>
  <si>
    <t>Felic Borges Pereira</t>
  </si>
  <si>
    <t>Marli Carvalho</t>
  </si>
  <si>
    <t>Mazio Luiz De Melo</t>
  </si>
  <si>
    <t>Maria Clemencia do Carno Neta</t>
  </si>
  <si>
    <t xml:space="preserve">Benedito Meira de Oliveira </t>
  </si>
  <si>
    <t>Thalison Reis Bervanger</t>
  </si>
  <si>
    <t xml:space="preserve">Claudio Reis </t>
  </si>
  <si>
    <t xml:space="preserve">Cosme antonio Ferreira </t>
  </si>
  <si>
    <t xml:space="preserve">Aldenir Gomes de Souza </t>
  </si>
  <si>
    <t>Antonio Dias de Souza</t>
  </si>
  <si>
    <t>Anilton dos Santos Reis</t>
  </si>
  <si>
    <t>José Serafim Teodoro de Oliveira</t>
  </si>
  <si>
    <t>Valquiria Dias de Souza</t>
  </si>
  <si>
    <t>Amarildo carvalho</t>
  </si>
  <si>
    <t>Antonio Marcos Santos bomfim</t>
  </si>
  <si>
    <t>Vanderson Flaiber Margatio</t>
  </si>
  <si>
    <t>Valdivio Pereira Machado</t>
  </si>
  <si>
    <t>Adriano Oliveira dos Santos</t>
  </si>
  <si>
    <t>José Barbosa da Silva</t>
  </si>
  <si>
    <t>Ezequiel Barbosa da Silva</t>
  </si>
  <si>
    <t>José Felix dos Santos</t>
  </si>
  <si>
    <t>Adilson Teofilo da Silva Junior</t>
  </si>
  <si>
    <t>Aloir Margatto</t>
  </si>
  <si>
    <t>Renato Cordeiro Lucio</t>
  </si>
  <si>
    <t>Anildo dos Santos</t>
  </si>
  <si>
    <t xml:space="preserve">Marcos Antonio Maturana </t>
  </si>
  <si>
    <t>Wilson Leal</t>
  </si>
  <si>
    <t xml:space="preserve">Elieuza Sebastiana da Cruz </t>
  </si>
  <si>
    <t>Braz Joaquim teixeira</t>
  </si>
  <si>
    <t>Izaquiel Valeriano</t>
  </si>
  <si>
    <t>Miguel Pereira Sol</t>
  </si>
  <si>
    <t>Alan da Silva Sales</t>
  </si>
  <si>
    <t>Antonio Pereira Sales</t>
  </si>
  <si>
    <t>Eliel Rosa de Souza</t>
  </si>
  <si>
    <t>Edgar antonio Teixeira</t>
  </si>
  <si>
    <t>José Henrique Franciolini Silva</t>
  </si>
  <si>
    <t>Rogério Tintori</t>
  </si>
  <si>
    <t>Antonio Carlos Xavier</t>
  </si>
  <si>
    <t>Cassio dos Santos rosa</t>
  </si>
  <si>
    <t>Alexandre Nunes de Oliveira</t>
  </si>
  <si>
    <t>Fernando Sperotto</t>
  </si>
  <si>
    <t>José Maria Libano Silva</t>
  </si>
  <si>
    <t>Amilton Lima dos Santos</t>
  </si>
  <si>
    <t>Jackson Araujo Silveira</t>
  </si>
  <si>
    <t>Adriel Sabaini</t>
  </si>
  <si>
    <t>Rogeria de Oliveira Almeida</t>
  </si>
  <si>
    <t>Claudinei Torquato</t>
  </si>
  <si>
    <t>Joanes Cavalcante</t>
  </si>
  <si>
    <t>Selio de Souza Fernandes</t>
  </si>
  <si>
    <t>João Damião da Silva</t>
  </si>
  <si>
    <t>Givaldo felix da Silva</t>
  </si>
  <si>
    <t>Gilson Mendes Vieira</t>
  </si>
  <si>
    <t>Dario Fidelis de Souza</t>
  </si>
  <si>
    <t>Alvino Alves dos Santos</t>
  </si>
  <si>
    <t>Anezio Gonçalves Pereira</t>
  </si>
  <si>
    <t>Pedro Henrique de Souza</t>
  </si>
  <si>
    <t>Raimundo Pego Souto</t>
  </si>
  <si>
    <t>Erisvaldo Santos de Souza</t>
  </si>
  <si>
    <t>Sinezio Ferreira</t>
  </si>
  <si>
    <t>Abrahão Pereira Alves</t>
  </si>
  <si>
    <t>Irene de Lourdes Keller</t>
  </si>
  <si>
    <t>Suzinara Reguina</t>
  </si>
  <si>
    <t>Valdomiro Silva Souza</t>
  </si>
  <si>
    <t>Adquirir e entregar máquinas, insumos e implementos agrícolas básicos, com base nas demandas priorizadas pelos diagnósticos locais</t>
  </si>
  <si>
    <t>Oscar Lucio Camargo</t>
  </si>
  <si>
    <t>Gilmar Antunes de Lima</t>
  </si>
  <si>
    <t>Caçula</t>
  </si>
  <si>
    <t>Erci Prudente Gonçalves</t>
  </si>
  <si>
    <t>Jõao Menes Ventura</t>
  </si>
  <si>
    <t>Neidevaldo Miguel</t>
  </si>
  <si>
    <t>Joene Ventura</t>
  </si>
  <si>
    <t>Claldecy Ventura Gomes</t>
  </si>
  <si>
    <t>Antônio Galoni</t>
  </si>
  <si>
    <t>Moisés de Oliveira Lima</t>
  </si>
  <si>
    <t>João Angelo dos Santos</t>
  </si>
  <si>
    <t>Emilene Cristina Guadanin</t>
  </si>
  <si>
    <t>Maria Helena da Silva</t>
  </si>
  <si>
    <t>Anderson dos Santos Garcia</t>
  </si>
  <si>
    <t>Salomão Dias Miranda</t>
  </si>
  <si>
    <t>Sebastião Lisboa Filho</t>
  </si>
  <si>
    <t>James Paulo Martineli</t>
  </si>
  <si>
    <t>Carlos Tavares da Silva</t>
  </si>
  <si>
    <t>100 kits/equipamentos entregues.</t>
  </si>
  <si>
    <t>Romilda Aparecida Teixeira Gomes da Silva</t>
  </si>
  <si>
    <t>Antônio Carlos Beraldo</t>
  </si>
  <si>
    <t>Vanderli de Souza</t>
  </si>
  <si>
    <t>André Teodoro Lunelli</t>
  </si>
  <si>
    <t>Vale do Barroso</t>
  </si>
  <si>
    <t>Moisés do Santos Silva</t>
  </si>
  <si>
    <t>Milton Rodrigues dos Santos</t>
  </si>
  <si>
    <t>Avelino Espada</t>
  </si>
  <si>
    <t>Geraldo Amaro da Silva</t>
  </si>
  <si>
    <t>Valdeci Neto de Oliveira</t>
  </si>
  <si>
    <t>Vilmar Gonçalves</t>
  </si>
  <si>
    <t>Osvaldo Chagas Ferreira</t>
  </si>
  <si>
    <t>Valdete Moreir de Souza</t>
  </si>
  <si>
    <t>Sandra Bledow</t>
  </si>
  <si>
    <t>Jair Dutra dos Santos</t>
  </si>
  <si>
    <t>Emilce Alves de Souza</t>
  </si>
  <si>
    <t>Wanderley Araujo Gonçalves</t>
  </si>
  <si>
    <t>Pedro Miguel de Andrade</t>
  </si>
  <si>
    <t>Glades Plodow de Oliveira</t>
  </si>
  <si>
    <t>Klacio Martins Pereira</t>
  </si>
  <si>
    <t>Pedro Dare dos Santos</t>
  </si>
  <si>
    <t>Milton da Silva Júnior</t>
  </si>
  <si>
    <t>Antônio Alves Moreira</t>
  </si>
  <si>
    <t>Luciene Barbosa Santos</t>
  </si>
  <si>
    <t>Felipe Gonsalves Botão</t>
  </si>
  <si>
    <t>Romildo Soares Moreira</t>
  </si>
  <si>
    <t>Janice Sá Oliveira</t>
  </si>
  <si>
    <t>Nelson da Silva</t>
  </si>
  <si>
    <t>Jairo Lermen</t>
  </si>
  <si>
    <t>Bruno Gonçalves Botão</t>
  </si>
  <si>
    <t>Juliana das Virgens</t>
  </si>
  <si>
    <t>Sergio Simão Lermen</t>
  </si>
  <si>
    <t>Marcelo das Virgens</t>
  </si>
  <si>
    <t>Paulo Elias de Souza</t>
  </si>
  <si>
    <t>Claudemir Cirilo dos Santos</t>
  </si>
  <si>
    <t>Osmar Alves Cestari</t>
  </si>
  <si>
    <t>Jorvaci Pereira Gomes</t>
  </si>
  <si>
    <t>Valdemar Gomes de Oliveira</t>
  </si>
  <si>
    <t>Adriel Silvares de Oliveira</t>
  </si>
  <si>
    <t>Vanildo de Souza</t>
  </si>
  <si>
    <t>Marcos Gomes Brito</t>
  </si>
  <si>
    <t>Mateus Rodrigues</t>
  </si>
  <si>
    <t>Sueli Ester de Freitas Siminhuk</t>
  </si>
  <si>
    <t>Angelo Meneguette Neto</t>
  </si>
  <si>
    <t>João Paulo Bucco</t>
  </si>
  <si>
    <t>Daniel Elias da Silva Filho</t>
  </si>
  <si>
    <t>Claiton Gonçalves Borges</t>
  </si>
  <si>
    <t>Celio Siminhuk</t>
  </si>
  <si>
    <t>Maria Guilhermina Paulino</t>
  </si>
  <si>
    <t>Ivanilda Rosa Domingues</t>
  </si>
  <si>
    <t>João Leopoldo Morais</t>
  </si>
  <si>
    <t>Jurandir Almeida Pereira</t>
  </si>
  <si>
    <t>Levantamento de demanda realizado?</t>
  </si>
  <si>
    <t>Silas Soares da Silva</t>
  </si>
  <si>
    <t>Compra realizada?</t>
  </si>
  <si>
    <t>Termo de uso elaborado?</t>
  </si>
  <si>
    <t>Werlani Buzzo</t>
  </si>
  <si>
    <t>Entrega realizada?</t>
  </si>
  <si>
    <t>Antônio Correa de Jesus</t>
  </si>
  <si>
    <t>Carlos Jorge Correa de Jesus</t>
  </si>
  <si>
    <t>Washinton Luis Maas</t>
  </si>
  <si>
    <t>Jailson Correa de Jesus</t>
  </si>
  <si>
    <t>Cecilia Sant''Anna V. Nunes</t>
  </si>
  <si>
    <t>Luiz Alves</t>
  </si>
  <si>
    <t>Paulo Figueiredo Caldeira</t>
  </si>
  <si>
    <t>Jefferson Leoni da Rocha</t>
  </si>
  <si>
    <t>Paulo Cezar de Almeida</t>
  </si>
  <si>
    <t>Cidinei Bueno Pereira</t>
  </si>
  <si>
    <t>Catarino de Jesus Matias</t>
  </si>
  <si>
    <t>Pedro Correa de Jesus</t>
  </si>
  <si>
    <t>Maria Aparecida Alves de Lima</t>
  </si>
  <si>
    <t>Elias Leoni da Rocha</t>
  </si>
  <si>
    <t>José Roberto Santos</t>
  </si>
  <si>
    <t>Claudemir Leoni</t>
  </si>
  <si>
    <t>Jaqueline Rodrigues de Sousa</t>
  </si>
  <si>
    <t>José Antônio Monteiro</t>
  </si>
  <si>
    <t xml:space="preserve">Vilmar Nunes </t>
  </si>
  <si>
    <t>Carlos Aberto Querino Leoni</t>
  </si>
  <si>
    <t>Salvador Mazarin</t>
  </si>
  <si>
    <t>Wender Buzzo</t>
  </si>
  <si>
    <t>Marley Noel de Oliveira Silva</t>
  </si>
  <si>
    <t>José Adriano Cardoso Figueiredo</t>
  </si>
  <si>
    <t>Valdir Berger</t>
  </si>
  <si>
    <t>Wantuir Romanha</t>
  </si>
  <si>
    <t>Bento Rangel</t>
  </si>
  <si>
    <t>Salvador Rodrigues de Carvalho</t>
  </si>
  <si>
    <t xml:space="preserve">Roziel Antunes de Lima </t>
  </si>
  <si>
    <t>Adriano Alfaia dos Santos</t>
  </si>
  <si>
    <t>Raquel Rodrigues de Souza Pereira</t>
  </si>
  <si>
    <t xml:space="preserve">Eliomar Rodrigues de Carvalho </t>
  </si>
  <si>
    <t xml:space="preserve">Erica dos Santos Ribeiro Dias </t>
  </si>
  <si>
    <t>Odorico Nunes Dias</t>
  </si>
  <si>
    <t xml:space="preserve">Valtair Araujo </t>
  </si>
  <si>
    <t>Edson Nunes Dias</t>
  </si>
  <si>
    <t>Leonardo de Oliveira da Silva Cardoso</t>
  </si>
  <si>
    <t>Adão Mendes Ferreira</t>
  </si>
  <si>
    <t>Aroldino Faustino</t>
  </si>
  <si>
    <t>Edivaldo Nunes Dias</t>
  </si>
  <si>
    <t xml:space="preserve">Luciano Farias Ribeiro </t>
  </si>
  <si>
    <t>Jorge Antonio de Oliveira</t>
  </si>
  <si>
    <t xml:space="preserve">Nayr Aparecida Ferreira dos Santos </t>
  </si>
  <si>
    <t>Claudeir Dionizio de Lima</t>
  </si>
  <si>
    <t xml:space="preserve">Vanildo Gomes dos Santos </t>
  </si>
  <si>
    <t>Claudio Alves dos Anjos</t>
  </si>
  <si>
    <t>Vanderley Sampaio</t>
  </si>
  <si>
    <t>Roni Novais Gutierrez</t>
  </si>
  <si>
    <t>Elizeu Luiz da Silva</t>
  </si>
  <si>
    <t>Pierre Ribeiro dos Santos</t>
  </si>
  <si>
    <t>Douglas José de Souza</t>
  </si>
  <si>
    <t>Josias Oliveira da Silva</t>
  </si>
  <si>
    <t xml:space="preserve">José Vloz da Costa </t>
  </si>
  <si>
    <t>José Maciel da Silva</t>
  </si>
  <si>
    <t xml:space="preserve">Genilto de Freitas Reis </t>
  </si>
  <si>
    <t xml:space="preserve">José Mendes Ferreira Neto </t>
  </si>
  <si>
    <t>Nilson Alves da Costa</t>
  </si>
  <si>
    <t>Laudeir Gude Henke</t>
  </si>
  <si>
    <t>Leonel Gude Henke</t>
  </si>
  <si>
    <t xml:space="preserve">Brunildo Nunes da Silva </t>
  </si>
  <si>
    <t xml:space="preserve">ASPRANE </t>
  </si>
  <si>
    <t>Cloves Ribeiro de Castro</t>
  </si>
  <si>
    <t>Everaldo Ferreira da Silva</t>
  </si>
  <si>
    <t>Daniel Almeida da Cruz</t>
  </si>
  <si>
    <t>Josino Alves de Souza</t>
  </si>
  <si>
    <t>Célio Roberto da Silva</t>
  </si>
  <si>
    <t>José Pereira da Silva Sobrinho</t>
  </si>
  <si>
    <t>Valdinei Ferreira de Andrade</t>
  </si>
  <si>
    <t>Everaldo Carlos Figueiredo</t>
  </si>
  <si>
    <t>Angelita Gilmara Benedito Miguel</t>
  </si>
  <si>
    <t xml:space="preserve">Ademir da Silva </t>
  </si>
  <si>
    <t>Ronilton Francisco Vieira</t>
  </si>
  <si>
    <t>Oleonice Maria dos Santos</t>
  </si>
  <si>
    <t>Paulo Sérgio Alves de Oliveira</t>
  </si>
  <si>
    <t>Marcos Bazoni</t>
  </si>
  <si>
    <t>Idevaldo Felício de Oliveira</t>
  </si>
  <si>
    <t>Antônio Gregório</t>
  </si>
  <si>
    <t>Nelson Paulino</t>
  </si>
  <si>
    <t>Marcelo Bredo Bazoni</t>
  </si>
  <si>
    <t>Rosinalva Alves Barretos Silva</t>
  </si>
  <si>
    <t>Regiane Batista Silva</t>
  </si>
  <si>
    <t>Izabely Gotardo Calda</t>
  </si>
  <si>
    <t>Odecio da Silva</t>
  </si>
  <si>
    <t>Armenio Oliveira Gotardo</t>
  </si>
  <si>
    <t>Gerson Oliveira de Caldas</t>
  </si>
  <si>
    <t>ASSOCIAÇÃO 51</t>
  </si>
  <si>
    <t>Sergio Duarte da Silva</t>
  </si>
  <si>
    <t>ASSOCIAÇÃO 52</t>
  </si>
  <si>
    <t>Vilson Adré da Silva</t>
  </si>
  <si>
    <t>ASSOCIAÇÃO 53</t>
  </si>
  <si>
    <t>Zaqueu Pereira Cazati</t>
  </si>
  <si>
    <t>ASSOCIAÇÃO 54</t>
  </si>
  <si>
    <t>Oswaldo André da Silva</t>
  </si>
  <si>
    <t>ASSOCIAÇÃO 55</t>
  </si>
  <si>
    <t>Juraci de Oliveira Caldas</t>
  </si>
  <si>
    <t>ASSOCIAÇÃO 56</t>
  </si>
  <si>
    <t>Pedro Mariano</t>
  </si>
  <si>
    <t>ASSOCIAÇÃO 57</t>
  </si>
  <si>
    <t>Anésio Pereira da Silva</t>
  </si>
  <si>
    <t>ASSOCIAÇÃO 58</t>
  </si>
  <si>
    <t>Sérgio Oliveira Carvalho</t>
  </si>
  <si>
    <t>ASSOCIAÇÃO 59</t>
  </si>
  <si>
    <t>Antônio Klitske</t>
  </si>
  <si>
    <t>ASSOCIAÇÃO 60</t>
  </si>
  <si>
    <t>Marcio Ricardo Mariano</t>
  </si>
  <si>
    <t>ASSOCIAÇÃO 61</t>
  </si>
  <si>
    <t>Arlindo Ferreira Lima</t>
  </si>
  <si>
    <t>ASSOCIAÇÃO 62</t>
  </si>
  <si>
    <t>Junior Fran Cristino</t>
  </si>
  <si>
    <t>ASSOCIAÇÃO 63</t>
  </si>
  <si>
    <t>Marcio Baritza</t>
  </si>
  <si>
    <t>ASSOCIAÇÃO 64</t>
  </si>
  <si>
    <t>Maria de Fátima Faria</t>
  </si>
  <si>
    <t>Maria Elizete Neves de Melo</t>
  </si>
  <si>
    <t>ASSOCIAÇÃO 65</t>
  </si>
  <si>
    <t>Eguinael Pereira França</t>
  </si>
  <si>
    <t>ASSOCIAÇÃO 66</t>
  </si>
  <si>
    <t>Geraldo Ferreira da Paz</t>
  </si>
  <si>
    <t>ASSOCIAÇÃO 67</t>
  </si>
  <si>
    <t>Geraldo Marcos Alves Braum</t>
  </si>
  <si>
    <t>ASSOCIAÇÃO 68</t>
  </si>
  <si>
    <t>Antônio Germano da Silva</t>
  </si>
  <si>
    <t>ASSOCIAÇÃO 69</t>
  </si>
  <si>
    <t>Mizael Alves Rodrigues</t>
  </si>
  <si>
    <t>ASSOCIAÇÃO 70</t>
  </si>
  <si>
    <t>ASSOCIAÇÃO 71</t>
  </si>
  <si>
    <t>Rodrigo da silva Martins</t>
  </si>
  <si>
    <t>ASSOCIAÇÃO 72</t>
  </si>
  <si>
    <t>Airton dias Campos</t>
  </si>
  <si>
    <t>ASSOCIAÇÃO 73</t>
  </si>
  <si>
    <t>Waldir Dias Campos</t>
  </si>
  <si>
    <t>Rozemiro Ferreira Gomes</t>
  </si>
  <si>
    <t>ASSOCIAÇÃO 74</t>
  </si>
  <si>
    <t>Juventino Pereira Muniz</t>
  </si>
  <si>
    <t>ASSOCIAÇÃO 75</t>
  </si>
  <si>
    <t>Sebastião Gomes da Cunha</t>
  </si>
  <si>
    <t>ASSOCIAÇÃO 76</t>
  </si>
  <si>
    <t>Fabio Antunes Macedo</t>
  </si>
  <si>
    <t>ASSOCIAÇÃO 77</t>
  </si>
  <si>
    <t>Valmiro Andrade Muniz</t>
  </si>
  <si>
    <t xml:space="preserve">Serafin Germano da Silva </t>
  </si>
  <si>
    <t>ASSOCIAÇÃO 78</t>
  </si>
  <si>
    <t>Rafael Prochnow</t>
  </si>
  <si>
    <t>ASSOCIAÇÃO 79</t>
  </si>
  <si>
    <t>Nelson de Jesus Cotrim</t>
  </si>
  <si>
    <t>ASSOCIAÇÃO 80</t>
  </si>
  <si>
    <t>Luiza Prochnow</t>
  </si>
  <si>
    <t>ASSOCIAÇÃO 81</t>
  </si>
  <si>
    <t>Ronaldo Alves da Cruz</t>
  </si>
  <si>
    <t>ASSOCIAÇÃO 82</t>
  </si>
  <si>
    <t>Amarildo Jacobsem</t>
  </si>
  <si>
    <t>ASSOCIAÇÃO 83</t>
  </si>
  <si>
    <t>Adilson Rossmam</t>
  </si>
  <si>
    <t>ASSOCIAÇÃO 84</t>
  </si>
  <si>
    <t>Leondes Aparecido Souza do Carmo</t>
  </si>
  <si>
    <t>ASSOCIAÇÃO 85</t>
  </si>
  <si>
    <t>Marcianoson Reis</t>
  </si>
  <si>
    <t>Adriano Denodai</t>
  </si>
  <si>
    <t>ASSOCIAÇÃO 86</t>
  </si>
  <si>
    <t>Valdecir Vieira Muller</t>
  </si>
  <si>
    <t>ASSOCIAÇÃO 87</t>
  </si>
  <si>
    <t>Edivaldo Alves Bezerra</t>
  </si>
  <si>
    <t>ASSOCIAÇÃO 88</t>
  </si>
  <si>
    <t>Leonel Onofre Santana</t>
  </si>
  <si>
    <t>ASSOCIAÇÃO 89</t>
  </si>
  <si>
    <t>Adriano Bachiet</t>
  </si>
  <si>
    <t>ASSOCIAÇÃO 90</t>
  </si>
  <si>
    <t>Edson Aldemir Scheffel</t>
  </si>
  <si>
    <t>ASSOCIAÇÃO 91</t>
  </si>
  <si>
    <t>Sebastião Emilio Soledade Gomes</t>
  </si>
  <si>
    <t>ASSOCIAÇÃO 92</t>
  </si>
  <si>
    <t>Adinair Santos de Souza</t>
  </si>
  <si>
    <t>Gilton Costa Pires</t>
  </si>
  <si>
    <t>ASSOCIAÇÃO 93</t>
  </si>
  <si>
    <t>ASSOCIAÇÃO 94</t>
  </si>
  <si>
    <t>ASSOCIAÇÃO 95</t>
  </si>
  <si>
    <t>ASSOCIAÇÃO 96</t>
  </si>
  <si>
    <t>ASSOCIAÇÃO 97</t>
  </si>
  <si>
    <t>Janinha Schmidt Ebert</t>
  </si>
  <si>
    <t>ASSOCIAÇÃO 98</t>
  </si>
  <si>
    <t>Joel Correa de Oliveira</t>
  </si>
  <si>
    <t>Evaldo Bino</t>
  </si>
  <si>
    <t>ASSOCIAÇÃO 99</t>
  </si>
  <si>
    <t>Manoel Lopes Alecrim</t>
  </si>
  <si>
    <t>ASSOCIAÇÃO 100</t>
  </si>
  <si>
    <t>Raimundo Cardoso de Araujo</t>
  </si>
  <si>
    <t>Mateus Michelon Duarte</t>
  </si>
  <si>
    <t xml:space="preserve">Tania Mirian da Silva </t>
  </si>
  <si>
    <t>Joaquim Bandeira</t>
  </si>
  <si>
    <t>José Luiz dos Santos Filho</t>
  </si>
  <si>
    <t>Regildo da Silva Nascimento</t>
  </si>
  <si>
    <t>Antônio de Moura Santos</t>
  </si>
  <si>
    <t>Juarez Bandeira</t>
  </si>
  <si>
    <t>Lucinete Silva de Jesus</t>
  </si>
  <si>
    <t>Manuel Lopes Alecrim</t>
  </si>
  <si>
    <t xml:space="preserve">José Aparecido da Silva </t>
  </si>
  <si>
    <t>Deomar Stoco Gotardo</t>
  </si>
  <si>
    <t>Jacy Rosa Correa</t>
  </si>
  <si>
    <t>José de Almeida da Silva</t>
  </si>
  <si>
    <t>João Fernandes Guirao Neto</t>
  </si>
  <si>
    <t>Naína de Suza Ramos Borges</t>
  </si>
  <si>
    <t>Laura Diely Lopes Araújo</t>
  </si>
  <si>
    <t xml:space="preserve">Taysom Ramos de Oliveira </t>
  </si>
  <si>
    <t xml:space="preserve">Manoel Gonzaga de Almeida </t>
  </si>
  <si>
    <t>Elias Pereira dos Santos</t>
  </si>
  <si>
    <t>Tiago Pacheco Ferreira</t>
  </si>
  <si>
    <t>Valdiney Falcão Ferreira</t>
  </si>
  <si>
    <t xml:space="preserve">Gilson Dantas da Silva </t>
  </si>
  <si>
    <t>Moisés Alves de Jesus</t>
  </si>
  <si>
    <t xml:space="preserve">José Feitosa da Silva </t>
  </si>
  <si>
    <t xml:space="preserve">Sergio Cardoso de Souza </t>
  </si>
  <si>
    <t>Maria Feitosa de Miranda</t>
  </si>
  <si>
    <t>Gregório Pereira de Souza</t>
  </si>
  <si>
    <t>Sidney de Souza</t>
  </si>
  <si>
    <t>Néri Suza da Costa</t>
  </si>
  <si>
    <t>Leonice da Silva Oliveira Cardoso</t>
  </si>
  <si>
    <t xml:space="preserve">Ademir José da Silva </t>
  </si>
  <si>
    <t>José Milton Feitosa da Silva</t>
  </si>
  <si>
    <t xml:space="preserve">Ivanildo Feitosa da Silva </t>
  </si>
  <si>
    <t>Adonias Correa Machado</t>
  </si>
  <si>
    <t>Tiago Valandro</t>
  </si>
  <si>
    <t>Antônio Pereira Sobrinho</t>
  </si>
  <si>
    <t>Maria Jacinta dos Santos</t>
  </si>
  <si>
    <t>José de Jesus Machado</t>
  </si>
  <si>
    <t>Rhenan Faria Lauro</t>
  </si>
  <si>
    <t>Valdeci Dias Novato</t>
  </si>
  <si>
    <t xml:space="preserve">Mayzon Dhiony Rodrigues Dias </t>
  </si>
  <si>
    <t>Reinaldo da Rocha Lauro Faria</t>
  </si>
  <si>
    <t>Maria Onice Dias de Souza</t>
  </si>
  <si>
    <t>Eduardo Dias de Souza</t>
  </si>
  <si>
    <t>Alan de Souza Dias</t>
  </si>
  <si>
    <t>Leandro Rodrigues Santos</t>
  </si>
  <si>
    <t>Antônio José dos Santos</t>
  </si>
  <si>
    <t>Carlos Henrique Cascimiro</t>
  </si>
  <si>
    <t>Darliton Romário Venturim</t>
  </si>
  <si>
    <t>Zaqueu Brandão Bernardo</t>
  </si>
  <si>
    <t>Gilberto Ferreira de Andrade</t>
  </si>
  <si>
    <t>Josias do Nascimento Soares</t>
  </si>
  <si>
    <t>Giovan Ferreira de Andrade</t>
  </si>
  <si>
    <t>Gabrielly Bazoni Andrade</t>
  </si>
  <si>
    <t>Jorge Firmino Bernardo</t>
  </si>
  <si>
    <t>Taiane Cardoso dos Santos Venturim</t>
  </si>
  <si>
    <t>Ezequiel Ribeiro</t>
  </si>
  <si>
    <t>Josias Ribeiro</t>
  </si>
  <si>
    <t>Rogério Barbosa Leite</t>
  </si>
  <si>
    <t>Moacir Delmonico</t>
  </si>
  <si>
    <t>Keirrisson Rodrigo Alves Ribeiro</t>
  </si>
  <si>
    <t>Vicente Fernandes Neto</t>
  </si>
  <si>
    <t>Anderson Luiz Deboni</t>
  </si>
  <si>
    <t>João Henrique Ribeiro</t>
  </si>
  <si>
    <t>Reginaldo Naba Simonato</t>
  </si>
  <si>
    <t>Ademir José Miniguini</t>
  </si>
  <si>
    <t>Wenlis Tonholo Soares</t>
  </si>
  <si>
    <t>Nilia Ribeiro da Sílva Deboni</t>
  </si>
  <si>
    <t>Joel Ribeiro</t>
  </si>
  <si>
    <t xml:space="preserve">José Roberto de Souza </t>
  </si>
  <si>
    <t>Paulo Cezar Costa Rosa</t>
  </si>
  <si>
    <t>Lindacil de Oliveira Rosa</t>
  </si>
  <si>
    <t>José Valdiney Costa Rosa</t>
  </si>
  <si>
    <t>Clerionilda Fárias de Souza</t>
  </si>
  <si>
    <t>Paulo Levandoski</t>
  </si>
  <si>
    <t>Onilton Bispo da Silva</t>
  </si>
  <si>
    <t>Renata Paula de Oliveira</t>
  </si>
  <si>
    <t>Jenifer Micaele Santos Costa Rosa</t>
  </si>
  <si>
    <t>Tiago Levandoski Paula</t>
  </si>
  <si>
    <t>Junior de Souza Lima</t>
  </si>
  <si>
    <t>Antônio Louderi Costa Rosa</t>
  </si>
  <si>
    <t>Ronaldo Tostes Tavares</t>
  </si>
  <si>
    <t>Domingos Levandoski</t>
  </si>
  <si>
    <t>José Anilson de Oliveira</t>
  </si>
  <si>
    <t>Paulo Henrique da Silva Martins</t>
  </si>
  <si>
    <t xml:space="preserve">Sidnei Costa Rosa </t>
  </si>
  <si>
    <t xml:space="preserve">Luciano da Silva </t>
  </si>
  <si>
    <t>Ademar José Procópio</t>
  </si>
  <si>
    <t>Robson Knak Almeida</t>
  </si>
  <si>
    <t>Ivonei Cezario do Nascimento</t>
  </si>
  <si>
    <t>Ivan Plaster</t>
  </si>
  <si>
    <t>Ivanete Maria do Nascimento</t>
  </si>
  <si>
    <t>Lucinete Maria do Nascimento</t>
  </si>
  <si>
    <t>Natal Machado de Souza</t>
  </si>
  <si>
    <t>Irineu Felberg</t>
  </si>
  <si>
    <t>Rogielto Pereira da Silva</t>
  </si>
  <si>
    <t>Laércio Almeida Pauli</t>
  </si>
  <si>
    <t>Claudimar Felberg</t>
  </si>
  <si>
    <t>Paulo Sérgio Zeferino Amaral</t>
  </si>
  <si>
    <t>Hudson Eduardo Nunes da Silva</t>
  </si>
  <si>
    <t>Jonas Luiz Cardoso</t>
  </si>
  <si>
    <t>Lindolfo Ferbeg</t>
  </si>
  <si>
    <t>Joanir Nunes de Souza</t>
  </si>
  <si>
    <t>Alan Plaster</t>
  </si>
  <si>
    <t>Ademilton Leal Marinho</t>
  </si>
  <si>
    <t xml:space="preserve">Pedro Pires da Silva </t>
  </si>
  <si>
    <t>João Batista de Oliveira Araújo</t>
  </si>
  <si>
    <t>Valdeci José Vieira</t>
  </si>
  <si>
    <t>Fabiano Rodrigues Borges</t>
  </si>
  <si>
    <t>Wellington dos Santos Araújo</t>
  </si>
  <si>
    <t>Gean Queiroz Pereira</t>
  </si>
  <si>
    <t>Alexandro Fagundes de Souza</t>
  </si>
  <si>
    <t>Carlos Araújo Pereira</t>
  </si>
  <si>
    <t>Pedro Oliveira Araújo</t>
  </si>
  <si>
    <t>Daniel Lopes da Silva</t>
  </si>
  <si>
    <t>Hélio Pereira</t>
  </si>
  <si>
    <t>Marcos Martins dos Santos</t>
  </si>
  <si>
    <t>Willian Davi Silva</t>
  </si>
  <si>
    <t>Bertulino Pereira Neto</t>
  </si>
  <si>
    <t>Edinelson Nunes de Abreu</t>
  </si>
  <si>
    <t xml:space="preserve">José Soares da Silva </t>
  </si>
  <si>
    <t>Adélio Gomes de Oliveira</t>
  </si>
  <si>
    <t>Miro Soares de Abreu</t>
  </si>
  <si>
    <t>José Alzenir Paiva</t>
  </si>
  <si>
    <t xml:space="preserve">Francisco Soares da Silva </t>
  </si>
  <si>
    <t>Edhione Diniz Tavares</t>
  </si>
  <si>
    <t xml:space="preserve">Vanderlei Carias da Silva </t>
  </si>
  <si>
    <t>José Roberto Dias</t>
  </si>
  <si>
    <t>Pedro Rosa Gomes de Oliveira</t>
  </si>
  <si>
    <t>Edeilson Gonçalves Soares</t>
  </si>
  <si>
    <t>Antônio Moreira de Souza</t>
  </si>
  <si>
    <t>Dionisclei de Souza Lima</t>
  </si>
  <si>
    <t>Ildo Silvestre da Silva</t>
  </si>
  <si>
    <t>João Alves de Brito</t>
  </si>
  <si>
    <t>Everaldo Teodoro Constante</t>
  </si>
  <si>
    <t>Adilson José dos Santos</t>
  </si>
  <si>
    <t xml:space="preserve">José Paulo da Silva </t>
  </si>
  <si>
    <t>Maria Aparecida Domiciano Siqueira</t>
  </si>
  <si>
    <t>Sergio Tomaz de Paula</t>
  </si>
  <si>
    <t>Manoel Carlos de Lima Vieira</t>
  </si>
  <si>
    <t>Vania Ribeiro da Silva</t>
  </si>
  <si>
    <t>Henrik Junior da Silva Haase</t>
  </si>
  <si>
    <t>João Vitor Vieira Haase</t>
  </si>
  <si>
    <t>Paulo César Vieira</t>
  </si>
  <si>
    <t>Claudemiro Alves de Souza</t>
  </si>
  <si>
    <t>José Zeni Ribeiro da Silva</t>
  </si>
  <si>
    <t>Luiz Vieira de Lima Filho</t>
  </si>
  <si>
    <t>Elenice Pereira Lima Sante</t>
  </si>
  <si>
    <t>Edmundo de Souza Cruz</t>
  </si>
  <si>
    <t>Ronivon da Silva Tolomeu</t>
  </si>
  <si>
    <t xml:space="preserve">Ednaldo Pereira Lima </t>
  </si>
  <si>
    <t>Ronaldo Bernardo Porfírio</t>
  </si>
  <si>
    <t>Gedalias Marques da Silva</t>
  </si>
  <si>
    <t>Renato Romeu Porfírio Santos</t>
  </si>
  <si>
    <t>Jaime Batista de Siqueira</t>
  </si>
  <si>
    <t>Domício de Oliveira da Paz</t>
  </si>
  <si>
    <t>Agnaldo Roberto Bernardo Porfírio</t>
  </si>
  <si>
    <t>Zacarias Rodrigues da Cruz</t>
  </si>
  <si>
    <t>Mizael Rodrigues da Cruz</t>
  </si>
  <si>
    <t>Moisés Rodrigues da Cruz</t>
  </si>
  <si>
    <t>Mateus Rodrigues da Cruz</t>
  </si>
  <si>
    <t>Josué Santana Barbosa</t>
  </si>
  <si>
    <t>Clarice Pereira de Moraes</t>
  </si>
  <si>
    <t>Anauro Garcia Antunes</t>
  </si>
  <si>
    <t>Antônio Honório</t>
  </si>
  <si>
    <t>500 atendimentos registrados. 200 visitas de retorno documentadas.</t>
  </si>
  <si>
    <t>Maria Jaqueline Garcia da Silva</t>
  </si>
  <si>
    <t>Arisvaldo Figueiredo de Araújo</t>
  </si>
  <si>
    <t>Felipe Antonio de Sousa Caminha</t>
  </si>
  <si>
    <t>Leiriane Silva Pinto</t>
  </si>
  <si>
    <t>Rosilene Alves da Silva</t>
  </si>
  <si>
    <t>500 atendimentos registrados.</t>
  </si>
  <si>
    <t>Adriano Araújo da Silva</t>
  </si>
  <si>
    <t>Neori Delmar Quednak</t>
  </si>
  <si>
    <t>Estácio Gomes da Silva Neto</t>
  </si>
  <si>
    <t>200 visitas de retorno documentadas.</t>
  </si>
  <si>
    <t>Capacitar agricultores em tecnologias apropriadas e práticas sustentáveis de uso do solo e produção agropecuária.</t>
  </si>
  <si>
    <t>Divergência entre projeto e plano trabalho</t>
  </si>
  <si>
    <t>10 estudantes envolvidos. 10 relatórios técnicos ou resumos científicos produzidos.</t>
  </si>
  <si>
    <t>50 eventos formativos realizados. 500 agricultores capacitados.</t>
  </si>
  <si>
    <t>10 estudantes envolvidos.</t>
  </si>
  <si>
    <t>50 eventos formativos realizados.</t>
  </si>
  <si>
    <t>500 agricultores capacitados.</t>
  </si>
  <si>
    <t>10 relatórios técnicos ou resumos científicos produzidos.</t>
  </si>
  <si>
    <t>Atendimento Realizado?</t>
  </si>
  <si>
    <t>Visita documentada?</t>
  </si>
  <si>
    <t>PROPRIEDADE 01</t>
  </si>
  <si>
    <t>PROPRIEDADE 02</t>
  </si>
  <si>
    <t>PROPRIEDADE 03</t>
  </si>
  <si>
    <t>PROPRIEDADE 04</t>
  </si>
  <si>
    <t>PROPRIEDADE 05</t>
  </si>
  <si>
    <t>PROPRIEDADE 06</t>
  </si>
  <si>
    <t>PROPRIEDADE 07</t>
  </si>
  <si>
    <t>PROPRIEDADE 08</t>
  </si>
  <si>
    <t>PROPRIEDADE 09</t>
  </si>
  <si>
    <t>PROPRIEDADE 10</t>
  </si>
  <si>
    <t>Aluno</t>
  </si>
  <si>
    <t>Atividade</t>
  </si>
  <si>
    <t>Contratação realizada?</t>
  </si>
  <si>
    <t>Relatório técnico/resumo ciêntífico</t>
  </si>
  <si>
    <t>Relatório produzido?</t>
  </si>
  <si>
    <t>ALUNO 01</t>
  </si>
  <si>
    <t>Evento</t>
  </si>
  <si>
    <t>Evento realizado?</t>
  </si>
  <si>
    <t>ALUNO 02</t>
  </si>
  <si>
    <t>Nome</t>
  </si>
  <si>
    <t>ALUNO 03</t>
  </si>
  <si>
    <t>Capacitação realizada?</t>
  </si>
  <si>
    <t>ALUNO 04</t>
  </si>
  <si>
    <t>RELATÓRIO 04</t>
  </si>
  <si>
    <t>EVENTO 01</t>
  </si>
  <si>
    <t>ALUNO 05</t>
  </si>
  <si>
    <t>RELATÓRIO 05</t>
  </si>
  <si>
    <t>ALUNO 06</t>
  </si>
  <si>
    <t>PRODUTOR 01</t>
  </si>
  <si>
    <t>RELATÓRIO 06</t>
  </si>
  <si>
    <t>EVENTO 02</t>
  </si>
  <si>
    <t>ALUNO 07</t>
  </si>
  <si>
    <t>RELATÓRIO 07</t>
  </si>
  <si>
    <t>PRODUTOR 02</t>
  </si>
  <si>
    <t>ALUNO 08</t>
  </si>
  <si>
    <t>EVENTO 03</t>
  </si>
  <si>
    <t>RELATÓRIO 08</t>
  </si>
  <si>
    <t>PRODUTOR 03</t>
  </si>
  <si>
    <t>ALUNO 09</t>
  </si>
  <si>
    <t>RELATÓRIO 09</t>
  </si>
  <si>
    <t>EVENTO 04</t>
  </si>
  <si>
    <t>ALUNO 10</t>
  </si>
  <si>
    <t>PRODUTOR 04</t>
  </si>
  <si>
    <t>RELATÓRIO 10</t>
  </si>
  <si>
    <t>EVENTO 05</t>
  </si>
  <si>
    <t>PRODUTOR 05</t>
  </si>
  <si>
    <t>EVENTO 06</t>
  </si>
  <si>
    <t>PRODUTOR 06</t>
  </si>
  <si>
    <t>EVENTO 07</t>
  </si>
  <si>
    <t>PRODUTOR 07</t>
  </si>
  <si>
    <t>EVENTO 08</t>
  </si>
  <si>
    <t>PRODUTOR 08</t>
  </si>
  <si>
    <t>EVENTO 09</t>
  </si>
  <si>
    <t>PRODUTOR 09</t>
  </si>
  <si>
    <t>EVENTO 10</t>
  </si>
  <si>
    <t>PRODUTOR 10</t>
  </si>
  <si>
    <t>2 ferramentas de TICs desenvolvidas.  6 relatórios de projetos de pesquisa entregues.</t>
  </si>
  <si>
    <t>2 ferramentas de TICs desenvolvidas.</t>
  </si>
  <si>
    <t>6 relatórios de projetos de pesquisa entregues.</t>
  </si>
  <si>
    <t>Ferramenta</t>
  </si>
  <si>
    <t>Proposta apresentada?</t>
  </si>
  <si>
    <t>DEV
Modelagem de dados</t>
  </si>
  <si>
    <t>DEV
API</t>
  </si>
  <si>
    <t>DEV
Frontend Web</t>
  </si>
  <si>
    <t>DEV
App Mobile</t>
  </si>
  <si>
    <t>Ferramenta Implantada?</t>
  </si>
  <si>
    <t>capacitação realizada?</t>
  </si>
  <si>
    <t>App Da Nossa Terra Rondônia</t>
  </si>
  <si>
    <t>FERRAMENTA 02</t>
  </si>
  <si>
    <t>Executar todo o recurso disponível.</t>
  </si>
  <si>
    <t>Valor</t>
  </si>
  <si>
    <t>Total liberado</t>
  </si>
  <si>
    <t>Total utilizado</t>
  </si>
  <si>
    <t>Contratarar até 6 coordenadores.</t>
  </si>
  <si>
    <t>Função</t>
  </si>
  <si>
    <t>Murilo Vargas da Silveira</t>
  </si>
  <si>
    <t>Coordenador Geral</t>
  </si>
  <si>
    <t>Elaine Lima da Fonseca</t>
  </si>
  <si>
    <t>Coordenadora do eixo Relação e Mobilização Comunitária</t>
  </si>
  <si>
    <t>Thiago Duarte Mielke</t>
  </si>
  <si>
    <t>Coordenador do eixo Agricultura Familiar</t>
  </si>
  <si>
    <t>Leandro Cecílio Matte</t>
  </si>
  <si>
    <t>Coordenador de Assistência Técnica</t>
  </si>
  <si>
    <t>Hedi Carlos Minin</t>
  </si>
  <si>
    <t>Coordenador do eixo Tecnologias da Informação e Comunicação</t>
  </si>
  <si>
    <t>Giselly Juchnievski de Oliveira</t>
  </si>
  <si>
    <t>Coordenadora Administrativa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</si>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</sst>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0.0"/>
    <numFmt numFmtId="166" formatCode="#,##0.0"/>
    <numFmt numFmtId="167" formatCode="dd/mm/yyyy"/>
    <numFmt numFmtId="168" formatCode="[$R$ -416]#,##0.00"/>
  </numFmts>
  <fonts count="22">
    <font>
      <sz val="10.0"/>
      <color rgb="FF000000"/>
      <name val="Arial"/>
      <scheme val="minor"/>
    </font>
    <font>
      <sz val="12.0"/>
      <color theme="1"/>
      <name val="Nunito"/>
    </font>
    <font>
      <sz val="21.0"/>
      <color rgb="FF5DAA2C"/>
      <name val="Nunito"/>
    </font>
    <font>
      <sz val="16.0"/>
      <color rgb="FF5DAA2C"/>
      <name val="Nunito"/>
    </font>
    <font/>
    <font>
      <sz val="11.0"/>
      <color rgb="FF666666"/>
      <name val="Nunito"/>
    </font>
    <font>
      <b/>
      <sz val="12.0"/>
      <color theme="1"/>
      <name val="Nunito"/>
    </font>
    <font>
      <sz val="11.0"/>
      <color theme="1"/>
      <name val="Nunito"/>
    </font>
    <font>
      <b/>
      <sz val="11.0"/>
      <color rgb="FFEA4335"/>
      <name val="Nunito"/>
    </font>
    <font>
      <color theme="1"/>
      <name val="Arial"/>
      <scheme val="minor"/>
    </font>
    <font>
      <b/>
      <sz val="11.0"/>
      <color theme="5"/>
      <name val="Nunito"/>
    </font>
    <font>
      <b/>
      <sz val="11.0"/>
      <color rgb="FFFF0000"/>
      <name val="Nunito"/>
    </font>
    <font>
      <b/>
      <sz val="12.0"/>
      <color rgb="FF5DAA2C"/>
      <name val="Nunito"/>
    </font>
    <font>
      <sz val="11.0"/>
      <color rgb="FF999999"/>
      <name val="Nunito"/>
    </font>
    <font>
      <b/>
      <sz val="11.0"/>
      <color theme="1"/>
      <name val="Nunito"/>
    </font>
    <font>
      <sz val="12.0"/>
      <color rgb="FFB7B7B7"/>
      <name val="Nunito"/>
    </font>
    <font>
      <sz val="11.0"/>
      <color rgb="FFB7B7B7"/>
      <name val="Nunito"/>
    </font>
    <font>
      <color theme="1"/>
      <name val="Arial"/>
    </font>
    <font>
      <color rgb="FFFF0000"/>
      <name val="Arial"/>
      <scheme val="minor"/>
    </font>
    <font>
      <sz val="11.0"/>
      <color theme="5"/>
      <name val="Arial"/>
      <scheme val="minor"/>
    </font>
    <font>
      <color theme="5"/>
      <name val="Arial"/>
      <scheme val="minor"/>
    </font>
    <font>
      <color theme="1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5DAA2C"/>
        <bgColor rgb="FF5DAA2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FEFEFE"/>
        <bgColor rgb="FFFEFEF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bottom style="thick">
        <color rgb="FF38761D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2" fontId="1" numFmtId="0" xfId="0" applyAlignment="1" applyBorder="1" applyFill="1" applyFont="1">
      <alignment horizontal="center" vertical="center"/>
    </xf>
    <xf borderId="2" fillId="0" fontId="4" numFmtId="0" xfId="0" applyBorder="1" applyFont="1"/>
    <xf borderId="0" fillId="0" fontId="3" numFmtId="0" xfId="0" applyAlignment="1" applyFont="1">
      <alignment horizontal="left" readingOrder="0" shrinkToFit="0" vertical="center" wrapText="1"/>
    </xf>
    <xf borderId="3" fillId="0" fontId="4" numFmtId="0" xfId="0" applyBorder="1" applyFont="1"/>
    <xf borderId="0" fillId="0" fontId="3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right" readingOrder="0" vertical="center"/>
    </xf>
    <xf borderId="0" fillId="0" fontId="7" numFmtId="0" xfId="0" applyFont="1"/>
    <xf borderId="1" fillId="3" fontId="6" numFmtId="0" xfId="0" applyAlignment="1" applyBorder="1" applyFill="1" applyFont="1">
      <alignment horizontal="right" readingOrder="0" vertical="center"/>
    </xf>
    <xf borderId="1" fillId="4" fontId="8" numFmtId="0" xfId="0" applyAlignment="1" applyBorder="1" applyFill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1" fillId="4" fontId="7" numFmtId="0" xfId="0" applyAlignment="1" applyBorder="1" applyFill="1" applyFont="1">
      <alignment readingOrder="0" vertical="center"/>
    </xf>
    <xf borderId="4" fillId="4" fontId="7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4" fillId="3" fontId="6" numFmtId="3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4" fontId="10" numFmtId="0" xfId="0" applyAlignment="1" applyBorder="1" applyFill="1" applyFont="1">
      <alignment readingOrder="0" shrinkToFit="0" vertical="center" wrapText="1"/>
    </xf>
    <xf borderId="0" fillId="0" fontId="9" numFmtId="0" xfId="0" applyAlignment="1" applyFont="1">
      <alignment horizontal="center" vertical="center"/>
    </xf>
    <xf borderId="1" fillId="4" fontId="11" numFmtId="0" xfId="0" applyAlignment="1" applyBorder="1" applyFill="1" applyFont="1">
      <alignment readingOrder="0" shrinkToFit="0" vertical="center" wrapText="1"/>
    </xf>
    <xf borderId="0" fillId="0" fontId="12" numFmtId="0" xfId="0" applyAlignment="1" applyFont="1">
      <alignment readingOrder="0" vertical="center"/>
    </xf>
    <xf borderId="4" fillId="3" fontId="12" numFmtId="0" xfId="0" applyAlignment="1" applyBorder="1" applyFill="1" applyFont="1">
      <alignment readingOrder="0" vertical="center"/>
    </xf>
    <xf borderId="4" fillId="3" fontId="12" numFmtId="0" xfId="0" applyAlignment="1" applyBorder="1" applyFill="1" applyFont="1">
      <alignment readingOrder="0" shrinkToFit="0" vertical="center" wrapText="1"/>
    </xf>
    <xf borderId="4" fillId="3" fontId="12" numFmtId="0" xfId="0" applyAlignment="1" applyBorder="1" applyFill="1" applyFont="1">
      <alignment horizontal="center" readingOrder="0" vertical="center"/>
    </xf>
    <xf borderId="4" fillId="4" fontId="7" numFmtId="165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4" fillId="0" fontId="7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shrinkToFit="0" vertical="center" wrapText="1"/>
    </xf>
    <xf borderId="4" fillId="4" fontId="7" numFmtId="0" xfId="0" applyAlignment="1" applyBorder="1" applyFill="1" applyFont="1">
      <alignment readingOrder="0" vertical="center"/>
    </xf>
    <xf borderId="1" fillId="4" fontId="13" numFmtId="0" xfId="0" applyAlignment="1" applyBorder="1" applyFill="1" applyFont="1">
      <alignment readingOrder="0" vertical="center"/>
    </xf>
    <xf borderId="4" fillId="0" fontId="1" numFmtId="4" xfId="0" applyAlignment="1" applyBorder="1" applyFont="1" applyNumberFormat="1">
      <alignment horizontal="center" readingOrder="0" vertical="center"/>
    </xf>
    <xf borderId="4" fillId="4" fontId="13" numFmtId="0" xfId="0" applyAlignment="1" applyBorder="1" applyFill="1" applyFont="1">
      <alignment horizontal="center" readingOrder="0" shrinkToFit="0" vertical="center" wrapText="1"/>
    </xf>
    <xf borderId="5" fillId="3" fontId="14" numFmtId="0" xfId="0" applyAlignment="1" applyBorder="1" applyFill="1" applyFont="1">
      <alignment readingOrder="0" vertical="center"/>
    </xf>
    <xf borderId="5" fillId="3" fontId="14" numFmtId="0" xfId="0" applyAlignment="1" applyBorder="1" applyFill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9" numFmtId="0" xfId="0" applyBorder="1" applyFont="1"/>
    <xf borderId="4" fillId="0" fontId="15" numFmtId="0" xfId="0" applyAlignment="1" applyBorder="1" applyFont="1">
      <alignment horizontal="center" readingOrder="0" vertical="center"/>
    </xf>
    <xf borderId="4" fillId="4" fontId="7" numFmtId="166" xfId="0" applyAlignment="1" applyBorder="1" applyFill="1" applyFont="1" applyNumberFormat="1">
      <alignment horizontal="center" readingOrder="0" shrinkToFit="0" vertical="center" wrapText="1"/>
    </xf>
    <xf borderId="4" fillId="0" fontId="1" numFmtId="165" xfId="0" applyAlignment="1" applyBorder="1" applyFont="1" applyNumberFormat="1">
      <alignment horizontal="center" readingOrder="0" vertical="center"/>
    </xf>
    <xf borderId="1" fillId="4" fontId="16" numFmtId="0" xfId="0" applyAlignment="1" applyBorder="1" applyFill="1" applyFont="1">
      <alignment readingOrder="0" vertical="center"/>
    </xf>
    <xf borderId="5" fillId="3" fontId="14" numFmtId="0" xfId="0" applyAlignment="1" applyBorder="1" applyFill="1" applyFont="1">
      <alignment horizontal="left" readingOrder="0" vertical="center"/>
    </xf>
    <xf borderId="4" fillId="4" fontId="16" numFmtId="0" xfId="0" applyAlignment="1" applyBorder="1" applyFill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/>
    </xf>
    <xf borderId="5" fillId="3" fontId="14" numFmtId="0" xfId="0" applyAlignment="1" applyBorder="1" applyFill="1" applyFont="1">
      <alignment readingOrder="0" shrinkToFit="0" vertical="center" wrapText="1"/>
    </xf>
    <xf borderId="4" fillId="4" fontId="13" numFmtId="0" xfId="0" applyAlignment="1" applyBorder="1" applyFill="1" applyFont="1">
      <alignment readingOrder="0" vertical="center"/>
    </xf>
    <xf borderId="0" fillId="0" fontId="17" numFmtId="0" xfId="0" applyFont="1"/>
    <xf borderId="0" fillId="0" fontId="17" numFmtId="0" xfId="0" applyAlignment="1" applyFont="1">
      <alignment horizontal="left"/>
    </xf>
    <xf borderId="0" fillId="3" fontId="17" numFmtId="0" xfId="0" applyFill="1" applyFont="1"/>
    <xf borderId="0" fillId="3" fontId="17" numFmtId="0" xfId="0" applyAlignment="1" applyFill="1" applyFont="1">
      <alignment horizontal="left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left" vertical="bottom"/>
    </xf>
    <xf borderId="0" fillId="0" fontId="1" numFmtId="4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4" fontId="17" numFmtId="0" xfId="0" applyAlignment="1" applyFill="1" applyFont="1">
      <alignment vertical="bottom"/>
    </xf>
    <xf borderId="0" fillId="5" fontId="17" numFmtId="0" xfId="0" applyFill="1" applyFont="1"/>
    <xf borderId="4" fillId="0" fontId="7" numFmtId="0" xfId="0" applyBorder="1" applyFont="1"/>
    <xf borderId="0" fillId="0" fontId="17" numFmtId="0" xfId="0" applyAlignment="1" applyFont="1">
      <alignment horizontal="left" shrinkToFit="0" wrapText="0"/>
    </xf>
    <xf borderId="0" fillId="6" fontId="17" numFmtId="0" xfId="0" applyFill="1" applyFont="1"/>
    <xf borderId="0" fillId="6" fontId="17" numFmtId="0" xfId="0" applyAlignment="1" applyFill="1" applyFont="1">
      <alignment horizontal="left"/>
    </xf>
    <xf borderId="0" fillId="0" fontId="17" numFmtId="0" xfId="0" applyAlignment="1" applyFont="1">
      <alignment horizontal="left"/>
    </xf>
    <xf borderId="0" fillId="0" fontId="17" numFmtId="0" xfId="0" applyFont="1"/>
    <xf borderId="0" fillId="7" fontId="17" numFmtId="0" xfId="0" applyFill="1" applyFont="1"/>
    <xf borderId="6" fillId="0" fontId="17" numFmtId="0" xfId="0" applyBorder="1" applyFont="1"/>
    <xf borderId="6" fillId="0" fontId="17" numFmtId="0" xfId="0" applyAlignment="1" applyBorder="1" applyFont="1">
      <alignment horizontal="left"/>
    </xf>
    <xf borderId="0" fillId="0" fontId="17" numFmtId="0" xfId="0" applyAlignment="1" applyFont="1">
      <alignment vertical="bottom"/>
    </xf>
    <xf borderId="0" fillId="8" fontId="17" numFmtId="0" xfId="0" applyFill="1" applyFont="1"/>
    <xf borderId="0" fillId="9" fontId="17" numFmtId="0" xfId="0" applyFill="1" applyFont="1"/>
    <xf borderId="0" fillId="9" fontId="17" numFmtId="0" xfId="0" applyAlignment="1" applyFill="1" applyFont="1">
      <alignment horizontal="left"/>
    </xf>
    <xf borderId="0" fillId="0" fontId="17" numFmtId="49" xfId="0" applyFont="1" applyNumberFormat="1"/>
    <xf borderId="0" fillId="0" fontId="17" numFmtId="49" xfId="0" applyAlignment="1" applyFont="1" applyNumberFormat="1">
      <alignment horizontal="left"/>
    </xf>
    <xf borderId="0" fillId="10" fontId="17" numFmtId="49" xfId="0" applyFill="1" applyFont="1" applyNumberFormat="1"/>
    <xf borderId="0" fillId="10" fontId="17" numFmtId="49" xfId="0" applyAlignment="1" applyFill="1" applyFont="1" applyNumberFormat="1">
      <alignment horizontal="left"/>
    </xf>
    <xf borderId="4" fillId="4" fontId="14" numFmtId="0" xfId="0" applyAlignment="1" applyBorder="1" applyFill="1" applyFont="1">
      <alignment readingOrder="0" shrinkToFit="0" vertical="center" wrapText="1"/>
    </xf>
    <xf borderId="0" fillId="4" fontId="17" numFmtId="49" xfId="0" applyFill="1" applyFont="1" applyNumberFormat="1"/>
    <xf borderId="0" fillId="4" fontId="17" numFmtId="49" xfId="0" applyAlignment="1" applyFill="1" applyFont="1" applyNumberFormat="1">
      <alignment horizontal="left"/>
    </xf>
    <xf borderId="0" fillId="9" fontId="17" numFmtId="49" xfId="0" applyFill="1" applyFont="1" applyNumberFormat="1"/>
    <xf borderId="0" fillId="9" fontId="17" numFmtId="49" xfId="0" applyAlignment="1" applyFill="1" applyFont="1" applyNumberFormat="1">
      <alignment horizontal="left"/>
    </xf>
    <xf borderId="4" fillId="0" fontId="7" numFmtId="167" xfId="0" applyAlignment="1" applyBorder="1" applyFont="1" applyNumberFormat="1">
      <alignment horizontal="center" readingOrder="0" vertical="center"/>
    </xf>
    <xf borderId="0" fillId="10" fontId="17" numFmtId="0" xfId="0" applyFill="1" applyFont="1"/>
    <xf borderId="0" fillId="10" fontId="17" numFmtId="0" xfId="0" applyAlignment="1" applyFill="1" applyFont="1">
      <alignment horizontal="left"/>
    </xf>
    <xf borderId="0" fillId="4" fontId="17" numFmtId="0" xfId="0" applyAlignment="1" applyFill="1" applyFont="1">
      <alignment horizontal="left" shrinkToFit="0" wrapText="1"/>
    </xf>
    <xf borderId="0" fillId="10" fontId="17" numFmtId="0" xfId="0" applyAlignment="1" applyFill="1" applyFont="1">
      <alignment horizontal="left" shrinkToFit="0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shrinkToFit="0" vertical="center" wrapText="1"/>
    </xf>
    <xf borderId="0" fillId="0" fontId="14" numFmtId="0" xfId="0" applyAlignment="1" applyFont="1">
      <alignment horizontal="center" readingOrder="0" vertical="center"/>
    </xf>
    <xf borderId="7" fillId="0" fontId="4" numFmtId="0" xfId="0" applyBorder="1" applyFont="1"/>
    <xf borderId="0" fillId="0" fontId="14" numFmtId="165" xfId="0" applyAlignment="1" applyFont="1" applyNumberFormat="1">
      <alignment horizontal="center" vertical="center"/>
    </xf>
    <xf borderId="4" fillId="0" fontId="7" numFmtId="168" xfId="0" applyAlignment="1" applyBorder="1" applyFont="1" applyNumberFormat="1">
      <alignment horizontal="left" readingOrder="0"/>
    </xf>
    <xf borderId="0" fillId="0" fontId="21" numFmtId="0" xfId="0" applyFont="1"/>
    <xf borderId="4" fillId="3" fontId="14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3">
    <dxf>
      <font>
        <color theme="5"/>
      </font>
      <fill>
        <patternFill patternType="none"/>
      </fill>
      <border/>
    </dxf>
    <dxf>
      <font>
        <color theme="4"/>
      </font>
      <fill>
        <patternFill patternType="none"/>
      </fill>
      <border/>
    </dxf>
    <dxf>
      <font>
        <color rgb="FF5DAA2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620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di Carlos Minin" id="{b936684c-f795-4a91-b820-bd5df7e7369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1T12:58:00.00" personId="{b936684c-f795-4a91-b820-bd5df7e73699}" id="{520a75a8-acb7-4d51-a9bf-21d11870f053}" done="0">
    <x18tc:text xml:space="preserve">Coordenação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70.63"/>
    <col customWidth="1" min="4" max="6" width="17.75"/>
  </cols>
  <sheetData>
    <row r="1" ht="108.75" customHeight="1">
      <c r="A1" s="1"/>
      <c r="B1" s="5"/>
      <c r="C1" s="6"/>
      <c r="D1" s="6"/>
      <c r="E1" s="6"/>
      <c r="F1" s="6"/>
      <c r="G1" s="6"/>
      <c r="H1" s="8"/>
    </row>
    <row r="2" ht="37.5" customHeight="1">
      <c r="A2" s="11"/>
      <c r="B2" s="13" t="s">
        <v>7</v>
      </c>
      <c r="C2" s="6"/>
      <c r="D2" s="6"/>
      <c r="E2" s="6"/>
      <c r="F2" s="6"/>
      <c r="G2" s="8"/>
      <c r="H2" s="19">
        <f>SUM(H5:H14)</f>
        <v>37.17574133</v>
      </c>
    </row>
    <row r="3">
      <c r="A3" s="21"/>
      <c r="B3" s="21"/>
      <c r="C3" s="22"/>
      <c r="D3" s="1"/>
      <c r="E3" s="1"/>
      <c r="F3" s="1"/>
      <c r="G3" s="24"/>
    </row>
    <row r="4" ht="30.0" customHeight="1">
      <c r="A4" s="26"/>
      <c r="B4" s="27" t="s">
        <v>18</v>
      </c>
      <c r="C4" s="28" t="s">
        <v>20</v>
      </c>
      <c r="D4" s="29" t="s">
        <v>21</v>
      </c>
      <c r="E4" s="29" t="s">
        <v>22</v>
      </c>
      <c r="F4" s="29" t="s">
        <v>23</v>
      </c>
      <c r="G4" s="29" t="s">
        <v>24</v>
      </c>
      <c r="H4" s="29" t="s">
        <v>25</v>
      </c>
    </row>
    <row r="5">
      <c r="A5" s="31"/>
      <c r="B5" s="33" t="s">
        <v>3</v>
      </c>
      <c r="C5" s="34" t="s">
        <v>5</v>
      </c>
      <c r="D5" s="37">
        <v>251000.0</v>
      </c>
      <c r="E5" s="43" t="str">
        <f t="shared" ref="E5:E14" si="1">IF(F5 = 0, "Não iniciado", IF(F5 &lt; 100, "Em execução", "Concluída"))</f>
        <v>Em execução</v>
      </c>
      <c r="F5" s="44">
        <f>'M1'!H1</f>
        <v>1.008333333</v>
      </c>
      <c r="G5" s="47">
        <v>30.0</v>
      </c>
      <c r="H5" s="49">
        <f t="shared" ref="H5:H14" si="2">F5*G5</f>
        <v>30.25</v>
      </c>
    </row>
    <row r="6">
      <c r="A6" s="31"/>
      <c r="B6" s="33" t="s">
        <v>0</v>
      </c>
      <c r="C6" s="34" t="s">
        <v>1</v>
      </c>
      <c r="D6" s="37">
        <v>595000.0</v>
      </c>
      <c r="E6" s="43" t="str">
        <f t="shared" si="1"/>
        <v>Não iniciado</v>
      </c>
      <c r="F6" s="44">
        <f>'M2'!G1</f>
        <v>0</v>
      </c>
      <c r="G6" s="47">
        <v>5.0</v>
      </c>
      <c r="H6" s="49">
        <f t="shared" si="2"/>
        <v>0</v>
      </c>
    </row>
    <row r="7">
      <c r="A7" s="31"/>
      <c r="B7" s="33" t="s">
        <v>2</v>
      </c>
      <c r="C7" s="34" t="s">
        <v>61</v>
      </c>
      <c r="D7" s="37">
        <v>3212000.0</v>
      </c>
      <c r="E7" s="43" t="str">
        <f t="shared" si="1"/>
        <v>Em execução</v>
      </c>
      <c r="F7" s="44">
        <f>'M3'!H1</f>
        <v>0.13005</v>
      </c>
      <c r="G7" s="47">
        <v>25.0</v>
      </c>
      <c r="H7" s="49">
        <f t="shared" si="2"/>
        <v>3.25125</v>
      </c>
    </row>
    <row r="8">
      <c r="A8" s="31"/>
      <c r="B8" s="33" t="s">
        <v>74</v>
      </c>
      <c r="C8" s="34" t="s">
        <v>75</v>
      </c>
      <c r="D8" s="37">
        <v>4.5E7</v>
      </c>
      <c r="E8" s="43" t="str">
        <f t="shared" si="1"/>
        <v>Em execução</v>
      </c>
      <c r="F8" s="44">
        <f>'M4'!F1</f>
        <v>0.2</v>
      </c>
      <c r="G8" s="47">
        <v>10.0</v>
      </c>
      <c r="H8" s="49">
        <f t="shared" si="2"/>
        <v>2</v>
      </c>
    </row>
    <row r="9">
      <c r="A9" s="31"/>
      <c r="B9" s="33" t="s">
        <v>87</v>
      </c>
      <c r="C9" s="34" t="s">
        <v>89</v>
      </c>
      <c r="D9" s="37">
        <v>350000.0</v>
      </c>
      <c r="E9" s="43" t="str">
        <f t="shared" si="1"/>
        <v>Não iniciado</v>
      </c>
      <c r="F9" s="44">
        <f>'M5'!G1</f>
        <v>0</v>
      </c>
      <c r="G9" s="47">
        <v>10.0</v>
      </c>
      <c r="H9" s="49">
        <f t="shared" si="2"/>
        <v>0</v>
      </c>
    </row>
    <row r="10">
      <c r="A10" s="31"/>
      <c r="B10" s="33" t="s">
        <v>98</v>
      </c>
      <c r="C10" s="34" t="s">
        <v>99</v>
      </c>
      <c r="D10" s="37">
        <v>471000.0</v>
      </c>
      <c r="E10" s="43" t="str">
        <f t="shared" si="1"/>
        <v>Não iniciado</v>
      </c>
      <c r="F10" s="44">
        <f>'M6'!G1</f>
        <v>0</v>
      </c>
      <c r="G10" s="47">
        <v>10.0</v>
      </c>
      <c r="H10" s="49">
        <f t="shared" si="2"/>
        <v>0</v>
      </c>
    </row>
    <row r="11">
      <c r="A11" s="31"/>
      <c r="B11" s="33" t="s">
        <v>108</v>
      </c>
      <c r="C11" s="34" t="s">
        <v>110</v>
      </c>
      <c r="D11" s="37">
        <v>295600.0</v>
      </c>
      <c r="E11" s="43" t="str">
        <f t="shared" si="1"/>
        <v>Não iniciado</v>
      </c>
      <c r="F11" s="44">
        <f>'M7'!F1</f>
        <v>0</v>
      </c>
      <c r="G11" s="47">
        <v>3.0</v>
      </c>
      <c r="H11" s="49">
        <f t="shared" si="2"/>
        <v>0</v>
      </c>
    </row>
    <row r="12">
      <c r="A12" s="31"/>
      <c r="B12" s="33" t="s">
        <v>118</v>
      </c>
      <c r="C12" s="34" t="s">
        <v>119</v>
      </c>
      <c r="D12" s="37">
        <v>609400.0</v>
      </c>
      <c r="E12" s="43" t="str">
        <f t="shared" si="1"/>
        <v>Em execução</v>
      </c>
      <c r="F12" s="44">
        <f>'M8'!K1</f>
        <v>0.05</v>
      </c>
      <c r="G12" s="47">
        <v>5.0</v>
      </c>
      <c r="H12" s="49">
        <f t="shared" si="2"/>
        <v>0.25</v>
      </c>
    </row>
    <row r="13">
      <c r="A13" s="31"/>
      <c r="B13" s="33" t="s">
        <v>129</v>
      </c>
      <c r="C13" s="34" t="s">
        <v>130</v>
      </c>
      <c r="D13" s="37">
        <v>3245000.0</v>
      </c>
      <c r="E13" s="43" t="str">
        <f t="shared" si="1"/>
        <v>Em execução</v>
      </c>
      <c r="F13" s="44">
        <f>'M9'!C1</f>
        <v>0.4244913332</v>
      </c>
      <c r="G13" s="47">
        <v>1.0</v>
      </c>
      <c r="H13" s="49">
        <f t="shared" si="2"/>
        <v>0.4244913332</v>
      </c>
    </row>
    <row r="14">
      <c r="A14" s="31"/>
      <c r="B14" s="33" t="s">
        <v>141</v>
      </c>
      <c r="C14" s="34" t="s">
        <v>142</v>
      </c>
      <c r="D14" s="37">
        <v>971000.0</v>
      </c>
      <c r="E14" s="43" t="str">
        <f t="shared" si="1"/>
        <v>Em execução</v>
      </c>
      <c r="F14" s="44">
        <f>'M10'!C1</f>
        <v>1</v>
      </c>
      <c r="G14" s="47">
        <v>1.0</v>
      </c>
      <c r="H14" s="49">
        <f t="shared" si="2"/>
        <v>1</v>
      </c>
    </row>
    <row r="15">
      <c r="A15" s="21"/>
      <c r="B15" s="21"/>
      <c r="C15" s="22"/>
      <c r="D15" s="65">
        <f>SUM(D5:D14)</f>
        <v>55000000</v>
      </c>
      <c r="E15" s="1"/>
      <c r="F15" s="1"/>
      <c r="G15" s="1">
        <f t="shared" ref="G15:H15" si="3">SUM(G5:G14)</f>
        <v>100</v>
      </c>
      <c r="H15" s="66">
        <f t="shared" si="3"/>
        <v>37.17574133</v>
      </c>
    </row>
    <row r="16">
      <c r="A16" s="21"/>
      <c r="B16" s="21"/>
      <c r="C16" s="22"/>
      <c r="D16" s="1"/>
      <c r="E16" s="1"/>
      <c r="F16" s="1"/>
      <c r="G16" s="24"/>
    </row>
    <row r="17">
      <c r="A17" s="21"/>
      <c r="B17" s="21"/>
      <c r="C17" s="22"/>
      <c r="D17" s="1"/>
      <c r="E17" s="1"/>
      <c r="F17" s="1"/>
      <c r="G17" s="24"/>
    </row>
    <row r="18">
      <c r="A18" s="21"/>
      <c r="B18" s="21"/>
      <c r="C18" s="22"/>
      <c r="D18" s="1"/>
      <c r="E18" s="1"/>
      <c r="F18" s="1"/>
      <c r="G18" s="24"/>
    </row>
    <row r="19">
      <c r="A19" s="21"/>
      <c r="B19" s="21"/>
      <c r="C19" s="22"/>
      <c r="D19" s="1"/>
      <c r="E19" s="1"/>
      <c r="F19" s="1"/>
      <c r="G19" s="24"/>
    </row>
    <row r="20">
      <c r="A20" s="21"/>
      <c r="B20" s="21"/>
      <c r="C20" s="22"/>
      <c r="D20" s="1"/>
      <c r="E20" s="1"/>
      <c r="F20" s="1"/>
      <c r="G20" s="24"/>
    </row>
    <row r="21">
      <c r="A21" s="21"/>
      <c r="B21" s="21"/>
      <c r="C21" s="22"/>
      <c r="D21" s="1"/>
      <c r="E21" s="1"/>
      <c r="F21" s="1"/>
      <c r="G21" s="24"/>
    </row>
    <row r="22">
      <c r="A22" s="21"/>
      <c r="B22" s="21"/>
      <c r="C22" s="22"/>
      <c r="D22" s="1"/>
      <c r="E22" s="1"/>
      <c r="F22" s="1"/>
      <c r="G22" s="24"/>
    </row>
    <row r="23">
      <c r="A23" s="21"/>
      <c r="B23" s="21"/>
      <c r="C23" s="22"/>
      <c r="D23" s="1"/>
      <c r="E23" s="1"/>
      <c r="F23" s="1"/>
      <c r="G23" s="24"/>
    </row>
    <row r="24">
      <c r="A24" s="21"/>
      <c r="B24" s="21"/>
      <c r="C24" s="22"/>
      <c r="D24" s="1"/>
      <c r="E24" s="1"/>
      <c r="F24" s="1"/>
      <c r="G24" s="24"/>
    </row>
    <row r="25">
      <c r="A25" s="21"/>
      <c r="B25" s="21"/>
      <c r="C25" s="22"/>
      <c r="D25" s="1"/>
      <c r="E25" s="1"/>
      <c r="F25" s="1"/>
      <c r="G25" s="24"/>
    </row>
    <row r="26">
      <c r="A26" s="21"/>
      <c r="B26" s="21"/>
      <c r="C26" s="22"/>
      <c r="D26" s="1"/>
      <c r="E26" s="1"/>
      <c r="F26" s="1"/>
      <c r="G26" s="24"/>
    </row>
    <row r="27">
      <c r="A27" s="21"/>
      <c r="B27" s="21"/>
      <c r="C27" s="22"/>
      <c r="D27" s="1"/>
      <c r="E27" s="1"/>
      <c r="F27" s="1"/>
      <c r="G27" s="24"/>
    </row>
    <row r="28">
      <c r="A28" s="21"/>
      <c r="B28" s="21"/>
      <c r="C28" s="22"/>
      <c r="D28" s="1"/>
      <c r="E28" s="1"/>
      <c r="F28" s="1"/>
      <c r="G28" s="24"/>
    </row>
    <row r="29">
      <c r="A29" s="21"/>
      <c r="B29" s="21"/>
      <c r="C29" s="22"/>
      <c r="D29" s="1"/>
      <c r="E29" s="1"/>
      <c r="F29" s="1"/>
      <c r="G29" s="24"/>
    </row>
    <row r="30">
      <c r="A30" s="21"/>
      <c r="B30" s="21"/>
      <c r="C30" s="22"/>
      <c r="D30" s="1"/>
      <c r="E30" s="1"/>
      <c r="F30" s="1"/>
      <c r="G30" s="24"/>
    </row>
    <row r="31">
      <c r="A31" s="21"/>
      <c r="B31" s="21"/>
      <c r="C31" s="22"/>
      <c r="D31" s="1"/>
      <c r="E31" s="1"/>
      <c r="F31" s="1"/>
      <c r="G31" s="24"/>
    </row>
    <row r="32">
      <c r="A32" s="21"/>
      <c r="B32" s="21"/>
      <c r="C32" s="22"/>
      <c r="D32" s="1"/>
      <c r="E32" s="1"/>
      <c r="F32" s="1"/>
      <c r="G32" s="24"/>
    </row>
    <row r="33">
      <c r="A33" s="21"/>
      <c r="B33" s="21"/>
      <c r="C33" s="22"/>
      <c r="D33" s="1"/>
      <c r="E33" s="1"/>
      <c r="F33" s="1"/>
      <c r="G33" s="24"/>
    </row>
    <row r="34">
      <c r="A34" s="21"/>
      <c r="B34" s="21"/>
      <c r="C34" s="22"/>
      <c r="D34" s="1"/>
      <c r="E34" s="1"/>
      <c r="F34" s="1"/>
      <c r="G34" s="24"/>
    </row>
    <row r="35">
      <c r="A35" s="21"/>
      <c r="B35" s="21"/>
      <c r="C35" s="22"/>
      <c r="D35" s="1"/>
      <c r="E35" s="1"/>
      <c r="F35" s="1"/>
      <c r="G35" s="24"/>
    </row>
    <row r="36">
      <c r="A36" s="21"/>
      <c r="B36" s="21"/>
      <c r="C36" s="22"/>
      <c r="D36" s="1"/>
      <c r="E36" s="1"/>
      <c r="F36" s="1"/>
      <c r="G36" s="24"/>
    </row>
    <row r="37">
      <c r="A37" s="21"/>
      <c r="B37" s="21"/>
      <c r="C37" s="22"/>
      <c r="D37" s="1"/>
      <c r="E37" s="1"/>
      <c r="F37" s="1"/>
      <c r="G37" s="24"/>
    </row>
    <row r="38">
      <c r="A38" s="21"/>
      <c r="B38" s="21"/>
      <c r="C38" s="22"/>
      <c r="D38" s="1"/>
      <c r="E38" s="1"/>
      <c r="F38" s="1"/>
      <c r="G38" s="24"/>
    </row>
    <row r="39">
      <c r="A39" s="21"/>
      <c r="B39" s="21"/>
      <c r="C39" s="22"/>
      <c r="D39" s="1"/>
      <c r="E39" s="1"/>
      <c r="F39" s="1"/>
      <c r="G39" s="24"/>
    </row>
    <row r="40">
      <c r="A40" s="21"/>
      <c r="B40" s="21"/>
      <c r="C40" s="22"/>
      <c r="D40" s="1"/>
      <c r="E40" s="1"/>
      <c r="F40" s="1"/>
      <c r="G40" s="24"/>
    </row>
    <row r="41">
      <c r="A41" s="21"/>
      <c r="B41" s="21"/>
      <c r="C41" s="22"/>
      <c r="D41" s="1"/>
      <c r="E41" s="1"/>
      <c r="F41" s="1"/>
      <c r="G41" s="24"/>
    </row>
    <row r="42">
      <c r="A42" s="21"/>
      <c r="B42" s="21"/>
      <c r="C42" s="22"/>
      <c r="D42" s="1"/>
      <c r="E42" s="1"/>
      <c r="F42" s="1"/>
      <c r="G42" s="24"/>
    </row>
    <row r="43">
      <c r="A43" s="21"/>
      <c r="B43" s="21"/>
      <c r="C43" s="22"/>
      <c r="D43" s="1"/>
      <c r="E43" s="1"/>
      <c r="F43" s="1"/>
      <c r="G43" s="24"/>
    </row>
    <row r="44">
      <c r="A44" s="21"/>
      <c r="B44" s="21"/>
      <c r="C44" s="22"/>
      <c r="D44" s="1"/>
      <c r="E44" s="1"/>
      <c r="F44" s="1"/>
      <c r="G44" s="24"/>
    </row>
    <row r="45">
      <c r="A45" s="21"/>
      <c r="B45" s="21"/>
      <c r="C45" s="22"/>
      <c r="D45" s="1"/>
      <c r="E45" s="1"/>
      <c r="F45" s="1"/>
      <c r="G45" s="24"/>
    </row>
    <row r="46">
      <c r="A46" s="21"/>
      <c r="B46" s="21"/>
      <c r="C46" s="22"/>
      <c r="D46" s="1"/>
      <c r="E46" s="1"/>
      <c r="F46" s="1"/>
      <c r="G46" s="24"/>
    </row>
    <row r="47">
      <c r="A47" s="21"/>
      <c r="B47" s="21"/>
      <c r="C47" s="22"/>
      <c r="D47" s="1"/>
      <c r="E47" s="1"/>
      <c r="F47" s="1"/>
      <c r="G47" s="24"/>
    </row>
    <row r="48">
      <c r="A48" s="21"/>
      <c r="B48" s="21"/>
      <c r="C48" s="22"/>
      <c r="D48" s="1"/>
      <c r="E48" s="1"/>
      <c r="F48" s="1"/>
      <c r="G48" s="24"/>
    </row>
    <row r="49">
      <c r="A49" s="21"/>
      <c r="B49" s="21"/>
      <c r="C49" s="22"/>
      <c r="D49" s="1"/>
      <c r="E49" s="1"/>
      <c r="F49" s="1"/>
      <c r="G49" s="24"/>
    </row>
    <row r="50">
      <c r="A50" s="21"/>
      <c r="B50" s="21"/>
      <c r="C50" s="22"/>
      <c r="D50" s="1"/>
      <c r="E50" s="1"/>
      <c r="F50" s="1"/>
      <c r="G50" s="24"/>
    </row>
    <row r="51">
      <c r="A51" s="21"/>
      <c r="B51" s="21"/>
      <c r="C51" s="22"/>
      <c r="D51" s="1"/>
      <c r="E51" s="1"/>
      <c r="F51" s="1"/>
      <c r="G51" s="24"/>
    </row>
    <row r="52">
      <c r="A52" s="21"/>
      <c r="B52" s="21"/>
      <c r="C52" s="22"/>
      <c r="D52" s="1"/>
      <c r="E52" s="1"/>
      <c r="F52" s="1"/>
      <c r="G52" s="24"/>
    </row>
    <row r="53">
      <c r="A53" s="21"/>
      <c r="B53" s="21"/>
      <c r="C53" s="22"/>
      <c r="D53" s="1"/>
      <c r="E53" s="1"/>
      <c r="F53" s="1"/>
      <c r="G53" s="24"/>
    </row>
    <row r="54">
      <c r="A54" s="21"/>
      <c r="B54" s="21"/>
      <c r="C54" s="22"/>
      <c r="D54" s="1"/>
      <c r="E54" s="1"/>
      <c r="F54" s="1"/>
      <c r="G54" s="24"/>
    </row>
    <row r="55">
      <c r="A55" s="21"/>
      <c r="B55" s="21"/>
      <c r="C55" s="22"/>
      <c r="D55" s="1"/>
      <c r="E55" s="1"/>
      <c r="F55" s="1"/>
      <c r="G55" s="24"/>
    </row>
    <row r="56">
      <c r="A56" s="21"/>
      <c r="B56" s="21"/>
      <c r="C56" s="22"/>
      <c r="D56" s="1"/>
      <c r="E56" s="1"/>
      <c r="F56" s="1"/>
      <c r="G56" s="24"/>
    </row>
    <row r="57">
      <c r="A57" s="21"/>
      <c r="B57" s="21"/>
      <c r="C57" s="22"/>
      <c r="D57" s="1"/>
      <c r="E57" s="1"/>
      <c r="F57" s="1"/>
      <c r="G57" s="24"/>
    </row>
    <row r="58">
      <c r="A58" s="21"/>
      <c r="B58" s="21"/>
      <c r="C58" s="22"/>
      <c r="D58" s="1"/>
      <c r="E58" s="1"/>
      <c r="F58" s="1"/>
      <c r="G58" s="24"/>
    </row>
    <row r="59">
      <c r="A59" s="21"/>
      <c r="B59" s="21"/>
      <c r="C59" s="22"/>
      <c r="D59" s="1"/>
      <c r="E59" s="1"/>
      <c r="F59" s="1"/>
      <c r="G59" s="24"/>
    </row>
    <row r="60">
      <c r="A60" s="21"/>
      <c r="B60" s="21"/>
      <c r="C60" s="22"/>
      <c r="D60" s="1"/>
      <c r="E60" s="1"/>
      <c r="F60" s="1"/>
      <c r="G60" s="24"/>
    </row>
    <row r="61">
      <c r="A61" s="21"/>
      <c r="B61" s="21"/>
      <c r="C61" s="22"/>
      <c r="D61" s="1"/>
      <c r="E61" s="1"/>
      <c r="F61" s="1"/>
      <c r="G61" s="24"/>
    </row>
    <row r="62">
      <c r="A62" s="21"/>
      <c r="B62" s="21"/>
      <c r="C62" s="22"/>
      <c r="D62" s="1"/>
      <c r="E62" s="1"/>
      <c r="F62" s="1"/>
      <c r="G62" s="24"/>
    </row>
    <row r="63">
      <c r="A63" s="21"/>
      <c r="B63" s="21"/>
      <c r="C63" s="22"/>
      <c r="D63" s="1"/>
      <c r="E63" s="1"/>
      <c r="F63" s="1"/>
      <c r="G63" s="24"/>
    </row>
    <row r="64">
      <c r="A64" s="21"/>
      <c r="B64" s="21"/>
      <c r="C64" s="22"/>
      <c r="D64" s="1"/>
      <c r="E64" s="1"/>
      <c r="F64" s="1"/>
      <c r="G64" s="24"/>
    </row>
    <row r="65">
      <c r="A65" s="21"/>
      <c r="B65" s="21"/>
      <c r="C65" s="22"/>
      <c r="D65" s="1"/>
      <c r="E65" s="1"/>
      <c r="F65" s="1"/>
      <c r="G65" s="24"/>
    </row>
    <row r="66">
      <c r="A66" s="21"/>
      <c r="B66" s="21"/>
      <c r="C66" s="22"/>
      <c r="D66" s="1"/>
      <c r="E66" s="1"/>
      <c r="F66" s="1"/>
      <c r="G66" s="24"/>
    </row>
    <row r="67">
      <c r="A67" s="21"/>
      <c r="B67" s="21"/>
      <c r="C67" s="22"/>
      <c r="D67" s="1"/>
      <c r="E67" s="1"/>
      <c r="F67" s="1"/>
      <c r="G67" s="24"/>
    </row>
    <row r="68">
      <c r="A68" s="21"/>
      <c r="B68" s="21"/>
      <c r="C68" s="22"/>
      <c r="D68" s="1"/>
      <c r="E68" s="1"/>
      <c r="F68" s="1"/>
      <c r="G68" s="24"/>
    </row>
    <row r="69">
      <c r="A69" s="21"/>
      <c r="B69" s="21"/>
      <c r="C69" s="22"/>
      <c r="D69" s="1"/>
      <c r="E69" s="1"/>
      <c r="F69" s="1"/>
      <c r="G69" s="24"/>
    </row>
    <row r="70">
      <c r="A70" s="21"/>
      <c r="B70" s="21"/>
      <c r="C70" s="22"/>
      <c r="D70" s="1"/>
      <c r="E70" s="1"/>
      <c r="F70" s="1"/>
      <c r="G70" s="24"/>
    </row>
    <row r="71">
      <c r="A71" s="21"/>
      <c r="B71" s="21"/>
      <c r="C71" s="22"/>
      <c r="D71" s="1"/>
      <c r="E71" s="1"/>
      <c r="F71" s="1"/>
      <c r="G71" s="24"/>
    </row>
    <row r="72">
      <c r="A72" s="21"/>
      <c r="B72" s="21"/>
      <c r="C72" s="22"/>
      <c r="D72" s="1"/>
      <c r="E72" s="1"/>
      <c r="F72" s="1"/>
      <c r="G72" s="24"/>
    </row>
    <row r="73">
      <c r="A73" s="21"/>
      <c r="B73" s="21"/>
      <c r="C73" s="22"/>
      <c r="D73" s="1"/>
      <c r="E73" s="1"/>
      <c r="F73" s="1"/>
      <c r="G73" s="24"/>
    </row>
    <row r="74">
      <c r="A74" s="21"/>
      <c r="B74" s="21"/>
      <c r="C74" s="22"/>
      <c r="D74" s="1"/>
      <c r="E74" s="1"/>
      <c r="F74" s="1"/>
      <c r="G74" s="24"/>
    </row>
    <row r="75">
      <c r="A75" s="21"/>
      <c r="B75" s="21"/>
      <c r="C75" s="22"/>
      <c r="D75" s="1"/>
      <c r="E75" s="1"/>
      <c r="F75" s="1"/>
      <c r="G75" s="24"/>
    </row>
    <row r="76">
      <c r="A76" s="21"/>
      <c r="B76" s="21"/>
      <c r="C76" s="22"/>
      <c r="D76" s="1"/>
      <c r="E76" s="1"/>
      <c r="F76" s="1"/>
      <c r="G76" s="24"/>
    </row>
    <row r="77">
      <c r="A77" s="21"/>
      <c r="B77" s="21"/>
      <c r="C77" s="22"/>
      <c r="D77" s="1"/>
      <c r="E77" s="1"/>
      <c r="F77" s="1"/>
      <c r="G77" s="24"/>
    </row>
    <row r="78">
      <c r="A78" s="21"/>
      <c r="B78" s="21"/>
      <c r="C78" s="22"/>
      <c r="D78" s="1"/>
      <c r="E78" s="1"/>
      <c r="F78" s="1"/>
      <c r="G78" s="24"/>
    </row>
    <row r="79">
      <c r="A79" s="21"/>
      <c r="B79" s="21"/>
      <c r="C79" s="22"/>
      <c r="D79" s="1"/>
      <c r="E79" s="1"/>
      <c r="F79" s="1"/>
      <c r="G79" s="24"/>
    </row>
    <row r="80">
      <c r="A80" s="21"/>
      <c r="B80" s="21"/>
      <c r="C80" s="22"/>
      <c r="D80" s="1"/>
      <c r="E80" s="1"/>
      <c r="F80" s="1"/>
      <c r="G80" s="24"/>
    </row>
    <row r="81">
      <c r="A81" s="21"/>
      <c r="B81" s="21"/>
      <c r="C81" s="22"/>
      <c r="D81" s="1"/>
      <c r="E81" s="1"/>
      <c r="F81" s="1"/>
      <c r="G81" s="24"/>
    </row>
    <row r="82">
      <c r="A82" s="21"/>
      <c r="B82" s="21"/>
      <c r="C82" s="22"/>
      <c r="D82" s="1"/>
      <c r="E82" s="1"/>
      <c r="F82" s="1"/>
      <c r="G82" s="24"/>
    </row>
    <row r="83">
      <c r="A83" s="21"/>
      <c r="B83" s="21"/>
      <c r="C83" s="22"/>
      <c r="D83" s="1"/>
      <c r="E83" s="1"/>
      <c r="F83" s="1"/>
      <c r="G83" s="24"/>
    </row>
    <row r="84">
      <c r="A84" s="21"/>
      <c r="B84" s="21"/>
      <c r="C84" s="22"/>
      <c r="D84" s="1"/>
      <c r="E84" s="1"/>
      <c r="F84" s="1"/>
      <c r="G84" s="24"/>
    </row>
    <row r="85">
      <c r="A85" s="21"/>
      <c r="B85" s="21"/>
      <c r="C85" s="22"/>
      <c r="D85" s="1"/>
      <c r="E85" s="1"/>
      <c r="F85" s="1"/>
      <c r="G85" s="24"/>
    </row>
    <row r="86">
      <c r="A86" s="21"/>
      <c r="B86" s="21"/>
      <c r="C86" s="22"/>
      <c r="D86" s="1"/>
      <c r="E86" s="1"/>
      <c r="F86" s="1"/>
      <c r="G86" s="24"/>
    </row>
    <row r="87">
      <c r="A87" s="21"/>
      <c r="B87" s="21"/>
      <c r="C87" s="22"/>
      <c r="D87" s="1"/>
      <c r="E87" s="1"/>
      <c r="F87" s="1"/>
      <c r="G87" s="24"/>
    </row>
    <row r="88">
      <c r="A88" s="21"/>
      <c r="B88" s="21"/>
      <c r="C88" s="22"/>
      <c r="D88" s="1"/>
      <c r="E88" s="1"/>
      <c r="F88" s="1"/>
      <c r="G88" s="24"/>
    </row>
    <row r="89">
      <c r="A89" s="21"/>
      <c r="B89" s="21"/>
      <c r="C89" s="22"/>
      <c r="D89" s="1"/>
      <c r="E89" s="1"/>
      <c r="F89" s="1"/>
      <c r="G89" s="24"/>
    </row>
    <row r="90">
      <c r="A90" s="21"/>
      <c r="B90" s="21"/>
      <c r="C90" s="22"/>
      <c r="D90" s="1"/>
      <c r="E90" s="1"/>
      <c r="F90" s="1"/>
      <c r="G90" s="24"/>
    </row>
    <row r="91">
      <c r="A91" s="21"/>
      <c r="B91" s="21"/>
      <c r="C91" s="22"/>
      <c r="D91" s="1"/>
      <c r="E91" s="1"/>
      <c r="F91" s="1"/>
      <c r="G91" s="24"/>
    </row>
    <row r="92">
      <c r="A92" s="21"/>
      <c r="B92" s="21"/>
      <c r="C92" s="22"/>
      <c r="D92" s="1"/>
      <c r="E92" s="1"/>
      <c r="F92" s="1"/>
      <c r="G92" s="24"/>
    </row>
    <row r="93">
      <c r="A93" s="21"/>
      <c r="B93" s="21"/>
      <c r="C93" s="22"/>
      <c r="D93" s="1"/>
      <c r="E93" s="1"/>
      <c r="F93" s="1"/>
      <c r="G93" s="24"/>
    </row>
    <row r="94">
      <c r="A94" s="21"/>
      <c r="B94" s="21"/>
      <c r="C94" s="22"/>
      <c r="D94" s="1"/>
      <c r="E94" s="1"/>
      <c r="F94" s="1"/>
      <c r="G94" s="24"/>
    </row>
    <row r="95">
      <c r="A95" s="21"/>
      <c r="B95" s="21"/>
      <c r="C95" s="22"/>
      <c r="D95" s="1"/>
      <c r="E95" s="1"/>
      <c r="F95" s="1"/>
      <c r="G95" s="24"/>
    </row>
    <row r="96">
      <c r="A96" s="21"/>
      <c r="B96" s="21"/>
      <c r="C96" s="22"/>
      <c r="D96" s="1"/>
      <c r="E96" s="1"/>
      <c r="F96" s="1"/>
      <c r="G96" s="24"/>
    </row>
    <row r="97">
      <c r="A97" s="21"/>
      <c r="B97" s="21"/>
      <c r="C97" s="22"/>
      <c r="D97" s="1"/>
      <c r="E97" s="1"/>
      <c r="F97" s="1"/>
      <c r="G97" s="24"/>
    </row>
    <row r="98">
      <c r="A98" s="21"/>
      <c r="B98" s="21"/>
      <c r="C98" s="22"/>
      <c r="D98" s="1"/>
      <c r="E98" s="1"/>
      <c r="F98" s="1"/>
      <c r="G98" s="24"/>
    </row>
    <row r="99">
      <c r="A99" s="21"/>
      <c r="B99" s="21"/>
      <c r="C99" s="22"/>
      <c r="D99" s="1"/>
      <c r="E99" s="1"/>
      <c r="F99" s="1"/>
      <c r="G99" s="24"/>
    </row>
    <row r="100">
      <c r="A100" s="21"/>
      <c r="B100" s="21"/>
      <c r="C100" s="22"/>
      <c r="D100" s="1"/>
      <c r="E100" s="1"/>
      <c r="F100" s="1"/>
      <c r="G100" s="24"/>
    </row>
    <row r="101">
      <c r="A101" s="21"/>
      <c r="B101" s="21"/>
      <c r="C101" s="22"/>
      <c r="D101" s="1"/>
      <c r="E101" s="1"/>
      <c r="F101" s="1"/>
      <c r="G101" s="24"/>
    </row>
    <row r="102">
      <c r="A102" s="21"/>
      <c r="B102" s="21"/>
      <c r="C102" s="22"/>
      <c r="D102" s="1"/>
      <c r="E102" s="1"/>
      <c r="F102" s="1"/>
      <c r="G102" s="24"/>
    </row>
    <row r="103">
      <c r="A103" s="21"/>
      <c r="B103" s="21"/>
      <c r="C103" s="22"/>
      <c r="D103" s="1"/>
      <c r="E103" s="1"/>
      <c r="F103" s="1"/>
      <c r="G103" s="24"/>
    </row>
    <row r="104">
      <c r="A104" s="21"/>
      <c r="B104" s="21"/>
      <c r="C104" s="22"/>
      <c r="D104" s="1"/>
      <c r="E104" s="1"/>
      <c r="F104" s="1"/>
      <c r="G104" s="24"/>
    </row>
    <row r="105">
      <c r="A105" s="21"/>
      <c r="B105" s="21"/>
      <c r="C105" s="22"/>
      <c r="D105" s="1"/>
      <c r="E105" s="1"/>
      <c r="F105" s="1"/>
      <c r="G105" s="24"/>
    </row>
    <row r="106">
      <c r="A106" s="21"/>
      <c r="B106" s="21"/>
      <c r="C106" s="22"/>
      <c r="D106" s="1"/>
      <c r="E106" s="1"/>
      <c r="F106" s="1"/>
      <c r="G106" s="24"/>
    </row>
    <row r="107">
      <c r="A107" s="21"/>
      <c r="B107" s="21"/>
      <c r="C107" s="22"/>
      <c r="D107" s="1"/>
      <c r="E107" s="1"/>
      <c r="F107" s="1"/>
      <c r="G107" s="24"/>
    </row>
    <row r="108">
      <c r="A108" s="21"/>
      <c r="B108" s="21"/>
      <c r="C108" s="22"/>
      <c r="D108" s="1"/>
      <c r="E108" s="1"/>
      <c r="F108" s="1"/>
      <c r="G108" s="24"/>
    </row>
    <row r="109">
      <c r="A109" s="21"/>
      <c r="B109" s="21"/>
      <c r="C109" s="22"/>
      <c r="D109" s="1"/>
      <c r="E109" s="1"/>
      <c r="F109" s="1"/>
      <c r="G109" s="24"/>
    </row>
    <row r="110">
      <c r="A110" s="21"/>
      <c r="B110" s="21"/>
      <c r="C110" s="22"/>
      <c r="D110" s="1"/>
      <c r="E110" s="1"/>
      <c r="F110" s="1"/>
      <c r="G110" s="24"/>
    </row>
    <row r="111">
      <c r="A111" s="21"/>
      <c r="B111" s="21"/>
      <c r="C111" s="22"/>
      <c r="D111" s="1"/>
      <c r="E111" s="1"/>
      <c r="F111" s="1"/>
      <c r="G111" s="24"/>
    </row>
    <row r="112">
      <c r="A112" s="21"/>
      <c r="B112" s="21"/>
      <c r="C112" s="22"/>
      <c r="D112" s="1"/>
      <c r="E112" s="1"/>
      <c r="F112" s="1"/>
      <c r="G112" s="24"/>
    </row>
    <row r="113">
      <c r="A113" s="21"/>
      <c r="B113" s="21"/>
      <c r="C113" s="22"/>
      <c r="D113" s="1"/>
      <c r="E113" s="1"/>
      <c r="F113" s="1"/>
      <c r="G113" s="24"/>
    </row>
    <row r="114">
      <c r="A114" s="21"/>
      <c r="B114" s="21"/>
      <c r="C114" s="22"/>
      <c r="D114" s="1"/>
      <c r="E114" s="1"/>
      <c r="F114" s="1"/>
      <c r="G114" s="24"/>
    </row>
    <row r="115">
      <c r="A115" s="21"/>
      <c r="B115" s="21"/>
      <c r="C115" s="22"/>
      <c r="D115" s="1"/>
      <c r="E115" s="1"/>
      <c r="F115" s="1"/>
      <c r="G115" s="24"/>
    </row>
    <row r="116">
      <c r="A116" s="21"/>
      <c r="B116" s="21"/>
      <c r="C116" s="22"/>
      <c r="D116" s="1"/>
      <c r="E116" s="1"/>
      <c r="F116" s="1"/>
      <c r="G116" s="24"/>
    </row>
    <row r="117">
      <c r="A117" s="21"/>
      <c r="B117" s="21"/>
      <c r="C117" s="22"/>
      <c r="D117" s="1"/>
      <c r="E117" s="1"/>
      <c r="F117" s="1"/>
      <c r="G117" s="24"/>
    </row>
    <row r="118">
      <c r="A118" s="21"/>
      <c r="B118" s="21"/>
      <c r="C118" s="22"/>
      <c r="D118" s="1"/>
      <c r="E118" s="1"/>
      <c r="F118" s="1"/>
      <c r="G118" s="24"/>
    </row>
    <row r="119">
      <c r="A119" s="21"/>
      <c r="B119" s="21"/>
      <c r="C119" s="22"/>
      <c r="D119" s="1"/>
      <c r="E119" s="1"/>
      <c r="F119" s="1"/>
      <c r="G119" s="24"/>
    </row>
    <row r="120">
      <c r="A120" s="21"/>
      <c r="B120" s="21"/>
      <c r="C120" s="22"/>
      <c r="D120" s="1"/>
      <c r="E120" s="1"/>
      <c r="F120" s="1"/>
      <c r="G120" s="24"/>
    </row>
    <row r="121">
      <c r="A121" s="21"/>
      <c r="B121" s="21"/>
      <c r="C121" s="22"/>
      <c r="D121" s="1"/>
      <c r="E121" s="1"/>
      <c r="F121" s="1"/>
      <c r="G121" s="24"/>
    </row>
    <row r="122">
      <c r="A122" s="21"/>
      <c r="B122" s="21"/>
      <c r="C122" s="22"/>
      <c r="D122" s="1"/>
      <c r="E122" s="1"/>
      <c r="F122" s="1"/>
      <c r="G122" s="24"/>
    </row>
    <row r="123">
      <c r="A123" s="21"/>
      <c r="B123" s="21"/>
      <c r="C123" s="22"/>
      <c r="D123" s="1"/>
      <c r="E123" s="1"/>
      <c r="F123" s="1"/>
      <c r="G123" s="24"/>
    </row>
    <row r="124">
      <c r="A124" s="21"/>
      <c r="B124" s="21"/>
      <c r="C124" s="22"/>
      <c r="D124" s="1"/>
      <c r="E124" s="1"/>
      <c r="F124" s="1"/>
      <c r="G124" s="24"/>
    </row>
    <row r="125">
      <c r="A125" s="21"/>
      <c r="B125" s="21"/>
      <c r="C125" s="22"/>
      <c r="D125" s="1"/>
      <c r="E125" s="1"/>
      <c r="F125" s="1"/>
      <c r="G125" s="24"/>
    </row>
    <row r="126">
      <c r="A126" s="21"/>
      <c r="B126" s="21"/>
      <c r="C126" s="22"/>
      <c r="D126" s="1"/>
      <c r="E126" s="1"/>
      <c r="F126" s="1"/>
      <c r="G126" s="24"/>
    </row>
    <row r="127">
      <c r="A127" s="21"/>
      <c r="B127" s="21"/>
      <c r="C127" s="22"/>
      <c r="D127" s="1"/>
      <c r="E127" s="1"/>
      <c r="F127" s="1"/>
      <c r="G127" s="24"/>
    </row>
    <row r="128">
      <c r="A128" s="21"/>
      <c r="B128" s="21"/>
      <c r="C128" s="22"/>
      <c r="D128" s="1"/>
      <c r="E128" s="1"/>
      <c r="F128" s="1"/>
      <c r="G128" s="24"/>
    </row>
    <row r="129">
      <c r="A129" s="21"/>
      <c r="B129" s="21"/>
      <c r="C129" s="22"/>
      <c r="D129" s="1"/>
      <c r="E129" s="1"/>
      <c r="F129" s="1"/>
      <c r="G129" s="24"/>
    </row>
    <row r="130">
      <c r="A130" s="21"/>
      <c r="B130" s="21"/>
      <c r="C130" s="22"/>
      <c r="D130" s="1"/>
      <c r="E130" s="1"/>
      <c r="F130" s="1"/>
      <c r="G130" s="24"/>
    </row>
    <row r="131">
      <c r="A131" s="21"/>
      <c r="B131" s="21"/>
      <c r="C131" s="22"/>
      <c r="D131" s="1"/>
      <c r="E131" s="1"/>
      <c r="F131" s="1"/>
      <c r="G131" s="24"/>
    </row>
    <row r="132">
      <c r="A132" s="21"/>
      <c r="B132" s="21"/>
      <c r="C132" s="22"/>
      <c r="D132" s="1"/>
      <c r="E132" s="1"/>
      <c r="F132" s="1"/>
      <c r="G132" s="24"/>
    </row>
    <row r="133">
      <c r="A133" s="21"/>
      <c r="B133" s="21"/>
      <c r="C133" s="22"/>
      <c r="D133" s="1"/>
      <c r="E133" s="1"/>
      <c r="F133" s="1"/>
      <c r="G133" s="24"/>
    </row>
    <row r="134">
      <c r="A134" s="21"/>
      <c r="B134" s="21"/>
      <c r="C134" s="22"/>
      <c r="D134" s="1"/>
      <c r="E134" s="1"/>
      <c r="F134" s="1"/>
      <c r="G134" s="24"/>
    </row>
    <row r="135">
      <c r="A135" s="21"/>
      <c r="B135" s="21"/>
      <c r="C135" s="22"/>
      <c r="D135" s="1"/>
      <c r="E135" s="1"/>
      <c r="F135" s="1"/>
      <c r="G135" s="24"/>
    </row>
    <row r="136">
      <c r="A136" s="21"/>
      <c r="B136" s="21"/>
      <c r="C136" s="22"/>
      <c r="D136" s="1"/>
      <c r="E136" s="1"/>
      <c r="F136" s="1"/>
      <c r="G136" s="24"/>
    </row>
    <row r="137">
      <c r="A137" s="21"/>
      <c r="B137" s="21"/>
      <c r="C137" s="22"/>
      <c r="D137" s="1"/>
      <c r="E137" s="1"/>
      <c r="F137" s="1"/>
      <c r="G137" s="24"/>
    </row>
    <row r="138">
      <c r="A138" s="21"/>
      <c r="B138" s="21"/>
      <c r="C138" s="22"/>
      <c r="D138" s="1"/>
      <c r="E138" s="1"/>
      <c r="F138" s="1"/>
      <c r="G138" s="24"/>
    </row>
    <row r="139">
      <c r="A139" s="21"/>
      <c r="B139" s="21"/>
      <c r="C139" s="22"/>
      <c r="D139" s="1"/>
      <c r="E139" s="1"/>
      <c r="F139" s="1"/>
      <c r="G139" s="24"/>
    </row>
    <row r="140">
      <c r="A140" s="21"/>
      <c r="B140" s="21"/>
      <c r="C140" s="22"/>
      <c r="D140" s="1"/>
      <c r="E140" s="1"/>
      <c r="F140" s="1"/>
      <c r="G140" s="24"/>
    </row>
    <row r="141">
      <c r="A141" s="21"/>
      <c r="B141" s="21"/>
      <c r="C141" s="22"/>
      <c r="D141" s="1"/>
      <c r="E141" s="1"/>
      <c r="F141" s="1"/>
      <c r="G141" s="24"/>
    </row>
    <row r="142">
      <c r="A142" s="21"/>
      <c r="B142" s="21"/>
      <c r="C142" s="22"/>
      <c r="D142" s="1"/>
      <c r="E142" s="1"/>
      <c r="F142" s="1"/>
      <c r="G142" s="24"/>
    </row>
    <row r="143">
      <c r="A143" s="21"/>
      <c r="B143" s="21"/>
      <c r="C143" s="22"/>
      <c r="D143" s="1"/>
      <c r="E143" s="1"/>
      <c r="F143" s="1"/>
      <c r="G143" s="24"/>
    </row>
    <row r="144">
      <c r="A144" s="21"/>
      <c r="B144" s="21"/>
      <c r="C144" s="22"/>
      <c r="D144" s="1"/>
      <c r="E144" s="1"/>
      <c r="F144" s="1"/>
      <c r="G144" s="24"/>
    </row>
    <row r="145">
      <c r="A145" s="21"/>
      <c r="B145" s="21"/>
      <c r="C145" s="22"/>
      <c r="D145" s="1"/>
      <c r="E145" s="1"/>
      <c r="F145" s="1"/>
      <c r="G145" s="24"/>
    </row>
    <row r="146">
      <c r="A146" s="21"/>
      <c r="B146" s="21"/>
      <c r="C146" s="22"/>
      <c r="D146" s="1"/>
      <c r="E146" s="1"/>
      <c r="F146" s="1"/>
      <c r="G146" s="24"/>
    </row>
    <row r="147">
      <c r="A147" s="21"/>
      <c r="B147" s="21"/>
      <c r="C147" s="22"/>
      <c r="D147" s="1"/>
      <c r="E147" s="1"/>
      <c r="F147" s="1"/>
      <c r="G147" s="24"/>
    </row>
    <row r="148">
      <c r="A148" s="21"/>
      <c r="B148" s="21"/>
      <c r="C148" s="22"/>
      <c r="D148" s="1"/>
      <c r="E148" s="1"/>
      <c r="F148" s="1"/>
      <c r="G148" s="24"/>
    </row>
    <row r="149">
      <c r="A149" s="21"/>
      <c r="B149" s="21"/>
      <c r="C149" s="22"/>
      <c r="D149" s="1"/>
      <c r="E149" s="1"/>
      <c r="F149" s="1"/>
      <c r="G149" s="24"/>
    </row>
    <row r="150">
      <c r="A150" s="21"/>
      <c r="B150" s="21"/>
      <c r="C150" s="22"/>
      <c r="D150" s="1"/>
      <c r="E150" s="1"/>
      <c r="F150" s="1"/>
      <c r="G150" s="24"/>
    </row>
    <row r="151">
      <c r="A151" s="21"/>
      <c r="B151" s="21"/>
      <c r="C151" s="22"/>
      <c r="D151" s="1"/>
      <c r="E151" s="1"/>
      <c r="F151" s="1"/>
      <c r="G151" s="24"/>
    </row>
    <row r="152">
      <c r="A152" s="21"/>
      <c r="B152" s="21"/>
      <c r="C152" s="22"/>
      <c r="D152" s="1"/>
      <c r="E152" s="1"/>
      <c r="F152" s="1"/>
      <c r="G152" s="24"/>
    </row>
    <row r="153">
      <c r="A153" s="21"/>
      <c r="B153" s="21"/>
      <c r="C153" s="22"/>
      <c r="D153" s="1"/>
      <c r="E153" s="1"/>
      <c r="F153" s="1"/>
      <c r="G153" s="24"/>
    </row>
    <row r="154">
      <c r="A154" s="21"/>
      <c r="B154" s="21"/>
      <c r="C154" s="22"/>
      <c r="D154" s="1"/>
      <c r="E154" s="1"/>
      <c r="F154" s="1"/>
      <c r="G154" s="24"/>
    </row>
    <row r="155">
      <c r="A155" s="21"/>
      <c r="B155" s="21"/>
      <c r="C155" s="22"/>
      <c r="D155" s="1"/>
      <c r="E155" s="1"/>
      <c r="F155" s="1"/>
      <c r="G155" s="24"/>
    </row>
    <row r="156">
      <c r="A156" s="21"/>
      <c r="B156" s="21"/>
      <c r="C156" s="22"/>
      <c r="D156" s="1"/>
      <c r="E156" s="1"/>
      <c r="F156" s="1"/>
      <c r="G156" s="24"/>
    </row>
    <row r="157">
      <c r="A157" s="21"/>
      <c r="B157" s="21"/>
      <c r="C157" s="22"/>
      <c r="D157" s="1"/>
      <c r="E157" s="1"/>
      <c r="F157" s="1"/>
      <c r="G157" s="24"/>
    </row>
    <row r="158">
      <c r="A158" s="21"/>
      <c r="B158" s="21"/>
      <c r="C158" s="22"/>
      <c r="D158" s="1"/>
      <c r="E158" s="1"/>
      <c r="F158" s="1"/>
      <c r="G158" s="24"/>
    </row>
    <row r="159">
      <c r="A159" s="21"/>
      <c r="B159" s="21"/>
      <c r="C159" s="22"/>
      <c r="D159" s="1"/>
      <c r="E159" s="1"/>
      <c r="F159" s="1"/>
      <c r="G159" s="24"/>
    </row>
    <row r="160">
      <c r="A160" s="21"/>
      <c r="B160" s="21"/>
      <c r="C160" s="22"/>
      <c r="D160" s="1"/>
      <c r="E160" s="1"/>
      <c r="F160" s="1"/>
      <c r="G160" s="24"/>
    </row>
    <row r="161">
      <c r="A161" s="21"/>
      <c r="B161" s="21"/>
      <c r="C161" s="22"/>
      <c r="D161" s="1"/>
      <c r="E161" s="1"/>
      <c r="F161" s="1"/>
      <c r="G161" s="24"/>
    </row>
    <row r="162">
      <c r="A162" s="21"/>
      <c r="B162" s="21"/>
      <c r="C162" s="22"/>
      <c r="D162" s="1"/>
      <c r="E162" s="1"/>
      <c r="F162" s="1"/>
      <c r="G162" s="24"/>
    </row>
    <row r="163">
      <c r="A163" s="21"/>
      <c r="B163" s="21"/>
      <c r="C163" s="22"/>
      <c r="D163" s="1"/>
      <c r="E163" s="1"/>
      <c r="F163" s="1"/>
      <c r="G163" s="24"/>
    </row>
    <row r="164">
      <c r="A164" s="21"/>
      <c r="B164" s="21"/>
      <c r="C164" s="22"/>
      <c r="D164" s="1"/>
      <c r="E164" s="1"/>
      <c r="F164" s="1"/>
      <c r="G164" s="24"/>
    </row>
    <row r="165">
      <c r="A165" s="21"/>
      <c r="B165" s="21"/>
      <c r="C165" s="22"/>
      <c r="D165" s="1"/>
      <c r="E165" s="1"/>
      <c r="F165" s="1"/>
      <c r="G165" s="24"/>
    </row>
    <row r="166">
      <c r="A166" s="21"/>
      <c r="B166" s="21"/>
      <c r="C166" s="22"/>
      <c r="D166" s="1"/>
      <c r="E166" s="1"/>
      <c r="F166" s="1"/>
      <c r="G166" s="24"/>
    </row>
    <row r="167">
      <c r="A167" s="21"/>
      <c r="B167" s="21"/>
      <c r="C167" s="22"/>
      <c r="D167" s="1"/>
      <c r="E167" s="1"/>
      <c r="F167" s="1"/>
      <c r="G167" s="24"/>
    </row>
    <row r="168">
      <c r="A168" s="21"/>
      <c r="B168" s="21"/>
      <c r="C168" s="22"/>
      <c r="D168" s="1"/>
      <c r="E168" s="1"/>
      <c r="F168" s="1"/>
      <c r="G168" s="24"/>
    </row>
    <row r="169">
      <c r="A169" s="21"/>
      <c r="B169" s="21"/>
      <c r="C169" s="22"/>
      <c r="D169" s="1"/>
      <c r="E169" s="1"/>
      <c r="F169" s="1"/>
      <c r="G169" s="24"/>
    </row>
    <row r="170">
      <c r="A170" s="21"/>
      <c r="B170" s="21"/>
      <c r="C170" s="22"/>
      <c r="D170" s="1"/>
      <c r="E170" s="1"/>
      <c r="F170" s="1"/>
      <c r="G170" s="24"/>
    </row>
    <row r="171">
      <c r="A171" s="21"/>
      <c r="B171" s="21"/>
      <c r="C171" s="22"/>
      <c r="D171" s="1"/>
      <c r="E171" s="1"/>
      <c r="F171" s="1"/>
      <c r="G171" s="24"/>
    </row>
    <row r="172">
      <c r="A172" s="21"/>
      <c r="B172" s="21"/>
      <c r="C172" s="22"/>
      <c r="D172" s="1"/>
      <c r="E172" s="1"/>
      <c r="F172" s="1"/>
      <c r="G172" s="24"/>
    </row>
    <row r="173">
      <c r="A173" s="21"/>
      <c r="B173" s="21"/>
      <c r="C173" s="22"/>
      <c r="D173" s="1"/>
      <c r="E173" s="1"/>
      <c r="F173" s="1"/>
      <c r="G173" s="24"/>
    </row>
    <row r="174">
      <c r="A174" s="21"/>
      <c r="B174" s="21"/>
      <c r="C174" s="22"/>
      <c r="D174" s="1"/>
      <c r="E174" s="1"/>
      <c r="F174" s="1"/>
      <c r="G174" s="24"/>
    </row>
    <row r="175">
      <c r="A175" s="21"/>
      <c r="B175" s="21"/>
      <c r="C175" s="22"/>
      <c r="D175" s="1"/>
      <c r="E175" s="1"/>
      <c r="F175" s="1"/>
      <c r="G175" s="24"/>
    </row>
    <row r="176">
      <c r="A176" s="21"/>
      <c r="B176" s="21"/>
      <c r="C176" s="22"/>
      <c r="D176" s="1"/>
      <c r="E176" s="1"/>
      <c r="F176" s="1"/>
      <c r="G176" s="24"/>
    </row>
    <row r="177">
      <c r="A177" s="21"/>
      <c r="B177" s="21"/>
      <c r="C177" s="22"/>
      <c r="D177" s="1"/>
      <c r="E177" s="1"/>
      <c r="F177" s="1"/>
      <c r="G177" s="24"/>
    </row>
    <row r="178">
      <c r="A178" s="21"/>
      <c r="B178" s="21"/>
      <c r="C178" s="22"/>
      <c r="D178" s="1"/>
      <c r="E178" s="1"/>
      <c r="F178" s="1"/>
      <c r="G178" s="24"/>
    </row>
    <row r="179">
      <c r="A179" s="21"/>
      <c r="B179" s="21"/>
      <c r="C179" s="22"/>
      <c r="D179" s="1"/>
      <c r="E179" s="1"/>
      <c r="F179" s="1"/>
      <c r="G179" s="24"/>
    </row>
    <row r="180">
      <c r="A180" s="21"/>
      <c r="B180" s="21"/>
      <c r="C180" s="22"/>
      <c r="D180" s="1"/>
      <c r="E180" s="1"/>
      <c r="F180" s="1"/>
      <c r="G180" s="24"/>
    </row>
    <row r="181">
      <c r="A181" s="21"/>
      <c r="B181" s="21"/>
      <c r="C181" s="22"/>
      <c r="D181" s="1"/>
      <c r="E181" s="1"/>
      <c r="F181" s="1"/>
      <c r="G181" s="24"/>
    </row>
    <row r="182">
      <c r="A182" s="21"/>
      <c r="B182" s="21"/>
      <c r="C182" s="22"/>
      <c r="D182" s="1"/>
      <c r="E182" s="1"/>
      <c r="F182" s="1"/>
      <c r="G182" s="24"/>
    </row>
    <row r="183">
      <c r="A183" s="21"/>
      <c r="B183" s="21"/>
      <c r="C183" s="22"/>
      <c r="D183" s="1"/>
      <c r="E183" s="1"/>
      <c r="F183" s="1"/>
      <c r="G183" s="24"/>
    </row>
    <row r="184">
      <c r="A184" s="21"/>
      <c r="B184" s="21"/>
      <c r="C184" s="22"/>
      <c r="D184" s="1"/>
      <c r="E184" s="1"/>
      <c r="F184" s="1"/>
      <c r="G184" s="24"/>
    </row>
    <row r="185">
      <c r="A185" s="21"/>
      <c r="B185" s="21"/>
      <c r="C185" s="22"/>
      <c r="D185" s="1"/>
      <c r="E185" s="1"/>
      <c r="F185" s="1"/>
      <c r="G185" s="24"/>
    </row>
    <row r="186">
      <c r="A186" s="21"/>
      <c r="B186" s="21"/>
      <c r="C186" s="22"/>
      <c r="D186" s="1"/>
      <c r="E186" s="1"/>
      <c r="F186" s="1"/>
      <c r="G186" s="24"/>
    </row>
    <row r="187">
      <c r="A187" s="21"/>
      <c r="B187" s="21"/>
      <c r="C187" s="22"/>
      <c r="D187" s="1"/>
      <c r="E187" s="1"/>
      <c r="F187" s="1"/>
      <c r="G187" s="24"/>
    </row>
    <row r="188">
      <c r="A188" s="21"/>
      <c r="B188" s="21"/>
      <c r="C188" s="22"/>
      <c r="D188" s="1"/>
      <c r="E188" s="1"/>
      <c r="F188" s="1"/>
      <c r="G188" s="24"/>
    </row>
    <row r="189">
      <c r="A189" s="21"/>
      <c r="B189" s="21"/>
      <c r="C189" s="22"/>
      <c r="D189" s="1"/>
      <c r="E189" s="1"/>
      <c r="F189" s="1"/>
      <c r="G189" s="24"/>
    </row>
    <row r="190">
      <c r="A190" s="21"/>
      <c r="B190" s="21"/>
      <c r="C190" s="22"/>
      <c r="D190" s="1"/>
      <c r="E190" s="1"/>
      <c r="F190" s="1"/>
      <c r="G190" s="24"/>
    </row>
    <row r="191">
      <c r="A191" s="21"/>
      <c r="B191" s="21"/>
      <c r="C191" s="22"/>
      <c r="D191" s="1"/>
      <c r="E191" s="1"/>
      <c r="F191" s="1"/>
      <c r="G191" s="24"/>
    </row>
    <row r="192">
      <c r="A192" s="21"/>
      <c r="B192" s="21"/>
      <c r="C192" s="22"/>
      <c r="D192" s="1"/>
      <c r="E192" s="1"/>
      <c r="F192" s="1"/>
      <c r="G192" s="24"/>
    </row>
    <row r="193">
      <c r="A193" s="21"/>
      <c r="B193" s="21"/>
      <c r="C193" s="22"/>
      <c r="D193" s="1"/>
      <c r="E193" s="1"/>
      <c r="F193" s="1"/>
      <c r="G193" s="24"/>
    </row>
    <row r="194">
      <c r="A194" s="21"/>
      <c r="B194" s="21"/>
      <c r="C194" s="22"/>
      <c r="D194" s="1"/>
      <c r="E194" s="1"/>
      <c r="F194" s="1"/>
      <c r="G194" s="24"/>
    </row>
    <row r="195">
      <c r="A195" s="21"/>
      <c r="B195" s="21"/>
      <c r="C195" s="22"/>
      <c r="D195" s="1"/>
      <c r="E195" s="1"/>
      <c r="F195" s="1"/>
      <c r="G195" s="24"/>
    </row>
    <row r="196">
      <c r="A196" s="21"/>
      <c r="B196" s="21"/>
      <c r="C196" s="22"/>
      <c r="D196" s="1"/>
      <c r="E196" s="1"/>
      <c r="F196" s="1"/>
      <c r="G196" s="24"/>
    </row>
    <row r="197">
      <c r="A197" s="21"/>
      <c r="B197" s="21"/>
      <c r="C197" s="22"/>
      <c r="D197" s="1"/>
      <c r="E197" s="1"/>
      <c r="F197" s="1"/>
      <c r="G197" s="24"/>
    </row>
    <row r="198">
      <c r="A198" s="21"/>
      <c r="B198" s="21"/>
      <c r="C198" s="22"/>
      <c r="D198" s="1"/>
      <c r="E198" s="1"/>
      <c r="F198" s="1"/>
      <c r="G198" s="24"/>
    </row>
    <row r="199">
      <c r="A199" s="21"/>
      <c r="B199" s="21"/>
      <c r="C199" s="22"/>
      <c r="D199" s="1"/>
      <c r="E199" s="1"/>
      <c r="F199" s="1"/>
      <c r="G199" s="24"/>
    </row>
    <row r="200">
      <c r="A200" s="21"/>
      <c r="B200" s="21"/>
      <c r="C200" s="22"/>
      <c r="D200" s="1"/>
      <c r="E200" s="1"/>
      <c r="F200" s="1"/>
      <c r="G200" s="24"/>
    </row>
    <row r="201">
      <c r="A201" s="21"/>
      <c r="B201" s="21"/>
      <c r="C201" s="22"/>
      <c r="D201" s="1"/>
      <c r="E201" s="1"/>
      <c r="F201" s="1"/>
      <c r="G201" s="24"/>
    </row>
    <row r="202">
      <c r="A202" s="21"/>
      <c r="B202" s="21"/>
      <c r="C202" s="22"/>
      <c r="D202" s="1"/>
      <c r="E202" s="1"/>
      <c r="F202" s="1"/>
      <c r="G202" s="24"/>
    </row>
    <row r="203">
      <c r="A203" s="21"/>
      <c r="B203" s="21"/>
      <c r="C203" s="22"/>
      <c r="D203" s="1"/>
      <c r="E203" s="1"/>
      <c r="F203" s="1"/>
      <c r="G203" s="24"/>
    </row>
    <row r="204">
      <c r="A204" s="21"/>
      <c r="B204" s="21"/>
      <c r="C204" s="22"/>
      <c r="D204" s="1"/>
      <c r="E204" s="1"/>
      <c r="F204" s="1"/>
      <c r="G204" s="24"/>
    </row>
    <row r="205">
      <c r="A205" s="21"/>
      <c r="B205" s="21"/>
      <c r="C205" s="22"/>
      <c r="D205" s="1"/>
      <c r="E205" s="1"/>
      <c r="F205" s="1"/>
      <c r="G205" s="24"/>
    </row>
    <row r="206">
      <c r="A206" s="21"/>
      <c r="B206" s="21"/>
      <c r="C206" s="22"/>
      <c r="D206" s="1"/>
      <c r="E206" s="1"/>
      <c r="F206" s="1"/>
      <c r="G206" s="24"/>
    </row>
    <row r="207">
      <c r="A207" s="21"/>
      <c r="B207" s="21"/>
      <c r="C207" s="22"/>
      <c r="D207" s="1"/>
      <c r="E207" s="1"/>
      <c r="F207" s="1"/>
      <c r="G207" s="24"/>
    </row>
    <row r="208">
      <c r="A208" s="21"/>
      <c r="B208" s="21"/>
      <c r="C208" s="22"/>
      <c r="D208" s="1"/>
      <c r="E208" s="1"/>
      <c r="F208" s="1"/>
      <c r="G208" s="24"/>
    </row>
    <row r="209">
      <c r="A209" s="21"/>
      <c r="B209" s="21"/>
      <c r="C209" s="22"/>
      <c r="D209" s="1"/>
      <c r="E209" s="1"/>
      <c r="F209" s="1"/>
      <c r="G209" s="24"/>
    </row>
    <row r="210">
      <c r="A210" s="21"/>
      <c r="B210" s="21"/>
      <c r="C210" s="22"/>
      <c r="D210" s="1"/>
      <c r="E210" s="1"/>
      <c r="F210" s="1"/>
      <c r="G210" s="24"/>
    </row>
    <row r="211">
      <c r="A211" s="21"/>
      <c r="B211" s="21"/>
      <c r="C211" s="22"/>
      <c r="D211" s="1"/>
      <c r="E211" s="1"/>
      <c r="F211" s="1"/>
      <c r="G211" s="24"/>
    </row>
    <row r="212">
      <c r="A212" s="21"/>
      <c r="B212" s="21"/>
      <c r="C212" s="22"/>
      <c r="D212" s="1"/>
      <c r="E212" s="1"/>
      <c r="F212" s="1"/>
      <c r="G212" s="24"/>
    </row>
    <row r="213">
      <c r="A213" s="21"/>
      <c r="B213" s="21"/>
      <c r="C213" s="22"/>
      <c r="D213" s="1"/>
      <c r="E213" s="1"/>
      <c r="F213" s="1"/>
      <c r="G213" s="24"/>
    </row>
    <row r="214">
      <c r="A214" s="21"/>
      <c r="B214" s="21"/>
      <c r="C214" s="22"/>
      <c r="D214" s="1"/>
      <c r="E214" s="1"/>
      <c r="F214" s="1"/>
      <c r="G214" s="24"/>
    </row>
    <row r="215">
      <c r="A215" s="21"/>
      <c r="B215" s="21"/>
      <c r="C215" s="22"/>
      <c r="D215" s="1"/>
      <c r="E215" s="1"/>
      <c r="F215" s="1"/>
      <c r="G215" s="24"/>
    </row>
    <row r="216">
      <c r="A216" s="21"/>
      <c r="B216" s="21"/>
      <c r="C216" s="22"/>
      <c r="D216" s="1"/>
      <c r="E216" s="1"/>
      <c r="F216" s="1"/>
      <c r="G216" s="24"/>
    </row>
    <row r="217">
      <c r="A217" s="21"/>
      <c r="B217" s="21"/>
      <c r="C217" s="22"/>
      <c r="D217" s="1"/>
      <c r="E217" s="1"/>
      <c r="F217" s="1"/>
      <c r="G217" s="24"/>
    </row>
    <row r="218">
      <c r="A218" s="21"/>
      <c r="B218" s="21"/>
      <c r="C218" s="22"/>
      <c r="D218" s="1"/>
      <c r="E218" s="1"/>
      <c r="F218" s="1"/>
      <c r="G218" s="24"/>
    </row>
    <row r="219">
      <c r="A219" s="21"/>
      <c r="B219" s="21"/>
      <c r="C219" s="22"/>
      <c r="D219" s="1"/>
      <c r="E219" s="1"/>
      <c r="F219" s="1"/>
      <c r="G219" s="24"/>
    </row>
    <row r="220">
      <c r="A220" s="21"/>
      <c r="B220" s="21"/>
      <c r="C220" s="22"/>
      <c r="D220" s="1"/>
      <c r="E220" s="1"/>
      <c r="F220" s="1"/>
      <c r="G220" s="24"/>
    </row>
    <row r="221">
      <c r="A221" s="21"/>
      <c r="B221" s="21"/>
      <c r="C221" s="22"/>
      <c r="D221" s="1"/>
      <c r="E221" s="1"/>
      <c r="F221" s="1"/>
      <c r="G221" s="24"/>
    </row>
    <row r="222">
      <c r="A222" s="21"/>
      <c r="B222" s="21"/>
      <c r="C222" s="22"/>
      <c r="D222" s="1"/>
      <c r="E222" s="1"/>
      <c r="F222" s="1"/>
      <c r="G222" s="24"/>
    </row>
    <row r="223">
      <c r="A223" s="21"/>
      <c r="B223" s="21"/>
      <c r="C223" s="22"/>
      <c r="D223" s="1"/>
      <c r="E223" s="1"/>
      <c r="F223" s="1"/>
      <c r="G223" s="24"/>
    </row>
    <row r="224">
      <c r="A224" s="21"/>
      <c r="B224" s="21"/>
      <c r="C224" s="22"/>
      <c r="D224" s="1"/>
      <c r="E224" s="1"/>
      <c r="F224" s="1"/>
      <c r="G224" s="24"/>
    </row>
    <row r="225">
      <c r="A225" s="21"/>
      <c r="B225" s="21"/>
      <c r="C225" s="22"/>
      <c r="D225" s="1"/>
      <c r="E225" s="1"/>
      <c r="F225" s="1"/>
      <c r="G225" s="24"/>
    </row>
    <row r="226">
      <c r="A226" s="21"/>
      <c r="B226" s="21"/>
      <c r="C226" s="22"/>
      <c r="D226" s="1"/>
      <c r="E226" s="1"/>
      <c r="F226" s="1"/>
      <c r="G226" s="24"/>
    </row>
    <row r="227">
      <c r="A227" s="21"/>
      <c r="B227" s="21"/>
      <c r="C227" s="22"/>
      <c r="D227" s="1"/>
      <c r="E227" s="1"/>
      <c r="F227" s="1"/>
      <c r="G227" s="24"/>
    </row>
    <row r="228">
      <c r="A228" s="21"/>
      <c r="B228" s="21"/>
      <c r="C228" s="22"/>
      <c r="D228" s="1"/>
      <c r="E228" s="1"/>
      <c r="F228" s="1"/>
      <c r="G228" s="24"/>
    </row>
    <row r="229">
      <c r="A229" s="21"/>
      <c r="B229" s="21"/>
      <c r="C229" s="22"/>
      <c r="D229" s="1"/>
      <c r="E229" s="1"/>
      <c r="F229" s="1"/>
      <c r="G229" s="24"/>
    </row>
    <row r="230">
      <c r="A230" s="21"/>
      <c r="B230" s="21"/>
      <c r="C230" s="22"/>
      <c r="D230" s="1"/>
      <c r="E230" s="1"/>
      <c r="F230" s="1"/>
      <c r="G230" s="24"/>
    </row>
    <row r="231">
      <c r="A231" s="21"/>
      <c r="B231" s="21"/>
      <c r="C231" s="22"/>
      <c r="D231" s="1"/>
      <c r="E231" s="1"/>
      <c r="F231" s="1"/>
      <c r="G231" s="24"/>
    </row>
    <row r="232">
      <c r="A232" s="21"/>
      <c r="B232" s="21"/>
      <c r="C232" s="22"/>
      <c r="D232" s="1"/>
      <c r="E232" s="1"/>
      <c r="F232" s="1"/>
      <c r="G232" s="24"/>
    </row>
    <row r="233">
      <c r="A233" s="21"/>
      <c r="B233" s="21"/>
      <c r="C233" s="22"/>
      <c r="D233" s="1"/>
      <c r="E233" s="1"/>
      <c r="F233" s="1"/>
      <c r="G233" s="24"/>
    </row>
    <row r="234">
      <c r="A234" s="21"/>
      <c r="B234" s="21"/>
      <c r="C234" s="22"/>
      <c r="D234" s="1"/>
      <c r="E234" s="1"/>
      <c r="F234" s="1"/>
      <c r="G234" s="24"/>
    </row>
    <row r="235">
      <c r="A235" s="21"/>
      <c r="B235" s="21"/>
      <c r="C235" s="22"/>
      <c r="D235" s="1"/>
      <c r="E235" s="1"/>
      <c r="F235" s="1"/>
      <c r="G235" s="24"/>
    </row>
    <row r="236">
      <c r="A236" s="21"/>
      <c r="B236" s="21"/>
      <c r="C236" s="22"/>
      <c r="D236" s="1"/>
      <c r="E236" s="1"/>
      <c r="F236" s="1"/>
      <c r="G236" s="24"/>
    </row>
    <row r="237">
      <c r="A237" s="21"/>
      <c r="B237" s="21"/>
      <c r="C237" s="22"/>
      <c r="D237" s="1"/>
      <c r="E237" s="1"/>
      <c r="F237" s="1"/>
      <c r="G237" s="24"/>
    </row>
    <row r="238">
      <c r="A238" s="21"/>
      <c r="B238" s="21"/>
      <c r="C238" s="22"/>
      <c r="D238" s="1"/>
      <c r="E238" s="1"/>
      <c r="F238" s="1"/>
      <c r="G238" s="24"/>
    </row>
    <row r="239">
      <c r="A239" s="21"/>
      <c r="B239" s="21"/>
      <c r="C239" s="22"/>
      <c r="D239" s="1"/>
      <c r="E239" s="1"/>
      <c r="F239" s="1"/>
      <c r="G239" s="24"/>
    </row>
    <row r="240">
      <c r="A240" s="21"/>
      <c r="B240" s="21"/>
      <c r="C240" s="22"/>
      <c r="D240" s="1"/>
      <c r="E240" s="1"/>
      <c r="F240" s="1"/>
      <c r="G240" s="24"/>
    </row>
    <row r="241">
      <c r="A241" s="21"/>
      <c r="B241" s="21"/>
      <c r="C241" s="22"/>
      <c r="D241" s="1"/>
      <c r="E241" s="1"/>
      <c r="F241" s="1"/>
      <c r="G241" s="24"/>
    </row>
    <row r="242">
      <c r="A242" s="21"/>
      <c r="B242" s="21"/>
      <c r="C242" s="22"/>
      <c r="D242" s="1"/>
      <c r="E242" s="1"/>
      <c r="F242" s="1"/>
      <c r="G242" s="24"/>
    </row>
    <row r="243">
      <c r="A243" s="21"/>
      <c r="B243" s="21"/>
      <c r="C243" s="22"/>
      <c r="D243" s="1"/>
      <c r="E243" s="1"/>
      <c r="F243" s="1"/>
      <c r="G243" s="24"/>
    </row>
    <row r="244">
      <c r="A244" s="21"/>
      <c r="B244" s="21"/>
      <c r="C244" s="22"/>
      <c r="D244" s="1"/>
      <c r="E244" s="1"/>
      <c r="F244" s="1"/>
      <c r="G244" s="24"/>
    </row>
    <row r="245">
      <c r="A245" s="21"/>
      <c r="B245" s="21"/>
      <c r="C245" s="22"/>
      <c r="D245" s="1"/>
      <c r="E245" s="1"/>
      <c r="F245" s="1"/>
      <c r="G245" s="24"/>
    </row>
    <row r="246">
      <c r="A246" s="21"/>
      <c r="B246" s="21"/>
      <c r="C246" s="22"/>
      <c r="D246" s="1"/>
      <c r="E246" s="1"/>
      <c r="F246" s="1"/>
      <c r="G246" s="24"/>
    </row>
    <row r="247">
      <c r="A247" s="21"/>
      <c r="B247" s="21"/>
      <c r="C247" s="22"/>
      <c r="D247" s="1"/>
      <c r="E247" s="1"/>
      <c r="F247" s="1"/>
      <c r="G247" s="24"/>
    </row>
    <row r="248">
      <c r="A248" s="21"/>
      <c r="B248" s="21"/>
      <c r="C248" s="22"/>
      <c r="D248" s="1"/>
      <c r="E248" s="1"/>
      <c r="F248" s="1"/>
      <c r="G248" s="24"/>
    </row>
    <row r="249">
      <c r="A249" s="21"/>
      <c r="B249" s="21"/>
      <c r="C249" s="22"/>
      <c r="D249" s="1"/>
      <c r="E249" s="1"/>
      <c r="F249" s="1"/>
      <c r="G249" s="24"/>
    </row>
    <row r="250">
      <c r="A250" s="21"/>
      <c r="B250" s="21"/>
      <c r="C250" s="22"/>
      <c r="D250" s="1"/>
      <c r="E250" s="1"/>
      <c r="F250" s="1"/>
      <c r="G250" s="24"/>
    </row>
    <row r="251">
      <c r="A251" s="21"/>
      <c r="B251" s="21"/>
      <c r="C251" s="22"/>
      <c r="D251" s="1"/>
      <c r="E251" s="1"/>
      <c r="F251" s="1"/>
      <c r="G251" s="24"/>
    </row>
    <row r="252">
      <c r="A252" s="21"/>
      <c r="B252" s="21"/>
      <c r="C252" s="22"/>
      <c r="D252" s="1"/>
      <c r="E252" s="1"/>
      <c r="F252" s="1"/>
      <c r="G252" s="24"/>
    </row>
    <row r="253">
      <c r="A253" s="21"/>
      <c r="B253" s="21"/>
      <c r="C253" s="22"/>
      <c r="D253" s="1"/>
      <c r="E253" s="1"/>
      <c r="F253" s="1"/>
      <c r="G253" s="24"/>
    </row>
    <row r="254">
      <c r="A254" s="21"/>
      <c r="B254" s="21"/>
      <c r="C254" s="22"/>
      <c r="D254" s="1"/>
      <c r="E254" s="1"/>
      <c r="F254" s="1"/>
      <c r="G254" s="24"/>
    </row>
    <row r="255">
      <c r="A255" s="21"/>
      <c r="B255" s="21"/>
      <c r="C255" s="22"/>
      <c r="D255" s="1"/>
      <c r="E255" s="1"/>
      <c r="F255" s="1"/>
      <c r="G255" s="24"/>
    </row>
    <row r="256">
      <c r="A256" s="21"/>
      <c r="B256" s="21"/>
      <c r="C256" s="22"/>
      <c r="D256" s="1"/>
      <c r="E256" s="1"/>
      <c r="F256" s="1"/>
      <c r="G256" s="24"/>
    </row>
    <row r="257">
      <c r="A257" s="21"/>
      <c r="B257" s="21"/>
      <c r="C257" s="22"/>
      <c r="D257" s="1"/>
      <c r="E257" s="1"/>
      <c r="F257" s="1"/>
      <c r="G257" s="24"/>
    </row>
    <row r="258">
      <c r="A258" s="21"/>
      <c r="B258" s="21"/>
      <c r="C258" s="22"/>
      <c r="D258" s="1"/>
      <c r="E258" s="1"/>
      <c r="F258" s="1"/>
      <c r="G258" s="24"/>
    </row>
    <row r="259">
      <c r="A259" s="21"/>
      <c r="B259" s="21"/>
      <c r="C259" s="22"/>
      <c r="D259" s="1"/>
      <c r="E259" s="1"/>
      <c r="F259" s="1"/>
      <c r="G259" s="24"/>
    </row>
    <row r="260">
      <c r="A260" s="21"/>
      <c r="B260" s="21"/>
      <c r="C260" s="22"/>
      <c r="D260" s="1"/>
      <c r="E260" s="1"/>
      <c r="F260" s="1"/>
      <c r="G260" s="24"/>
    </row>
    <row r="261">
      <c r="A261" s="21"/>
      <c r="B261" s="21"/>
      <c r="C261" s="22"/>
      <c r="D261" s="1"/>
      <c r="E261" s="1"/>
      <c r="F261" s="1"/>
      <c r="G261" s="24"/>
    </row>
    <row r="262">
      <c r="A262" s="21"/>
      <c r="B262" s="21"/>
      <c r="C262" s="22"/>
      <c r="D262" s="1"/>
      <c r="E262" s="1"/>
      <c r="F262" s="1"/>
      <c r="G262" s="24"/>
    </row>
    <row r="263">
      <c r="A263" s="21"/>
      <c r="B263" s="21"/>
      <c r="C263" s="22"/>
      <c r="D263" s="1"/>
      <c r="E263" s="1"/>
      <c r="F263" s="1"/>
      <c r="G263" s="24"/>
    </row>
    <row r="264">
      <c r="A264" s="21"/>
      <c r="B264" s="21"/>
      <c r="C264" s="22"/>
      <c r="D264" s="1"/>
      <c r="E264" s="1"/>
      <c r="F264" s="1"/>
      <c r="G264" s="24"/>
    </row>
    <row r="265">
      <c r="A265" s="21"/>
      <c r="B265" s="21"/>
      <c r="C265" s="22"/>
      <c r="D265" s="1"/>
      <c r="E265" s="1"/>
      <c r="F265" s="1"/>
      <c r="G265" s="24"/>
    </row>
    <row r="266">
      <c r="A266" s="21"/>
      <c r="B266" s="21"/>
      <c r="C266" s="22"/>
      <c r="D266" s="1"/>
      <c r="E266" s="1"/>
      <c r="F266" s="1"/>
      <c r="G266" s="24"/>
    </row>
    <row r="267">
      <c r="A267" s="21"/>
      <c r="B267" s="21"/>
      <c r="C267" s="22"/>
      <c r="D267" s="1"/>
      <c r="E267" s="1"/>
      <c r="F267" s="1"/>
      <c r="G267" s="24"/>
    </row>
    <row r="268">
      <c r="A268" s="21"/>
      <c r="B268" s="21"/>
      <c r="C268" s="22"/>
      <c r="D268" s="1"/>
      <c r="E268" s="1"/>
      <c r="F268" s="1"/>
      <c r="G268" s="24"/>
    </row>
    <row r="269">
      <c r="A269" s="21"/>
      <c r="B269" s="21"/>
      <c r="C269" s="22"/>
      <c r="D269" s="1"/>
      <c r="E269" s="1"/>
      <c r="F269" s="1"/>
      <c r="G269" s="24"/>
    </row>
    <row r="270">
      <c r="A270" s="21"/>
      <c r="B270" s="21"/>
      <c r="C270" s="22"/>
      <c r="D270" s="1"/>
      <c r="E270" s="1"/>
      <c r="F270" s="1"/>
      <c r="G270" s="24"/>
    </row>
    <row r="271">
      <c r="A271" s="21"/>
      <c r="B271" s="21"/>
      <c r="C271" s="22"/>
      <c r="D271" s="1"/>
      <c r="E271" s="1"/>
      <c r="F271" s="1"/>
      <c r="G271" s="24"/>
    </row>
    <row r="272">
      <c r="A272" s="21"/>
      <c r="B272" s="21"/>
      <c r="C272" s="22"/>
      <c r="D272" s="1"/>
      <c r="E272" s="1"/>
      <c r="F272" s="1"/>
      <c r="G272" s="24"/>
    </row>
    <row r="273">
      <c r="A273" s="21"/>
      <c r="B273" s="21"/>
      <c r="C273" s="22"/>
      <c r="D273" s="1"/>
      <c r="E273" s="1"/>
      <c r="F273" s="1"/>
      <c r="G273" s="24"/>
    </row>
    <row r="274">
      <c r="A274" s="21"/>
      <c r="B274" s="21"/>
      <c r="C274" s="22"/>
      <c r="D274" s="1"/>
      <c r="E274" s="1"/>
      <c r="F274" s="1"/>
      <c r="G274" s="24"/>
    </row>
    <row r="275">
      <c r="A275" s="21"/>
      <c r="B275" s="21"/>
      <c r="C275" s="22"/>
      <c r="D275" s="1"/>
      <c r="E275" s="1"/>
      <c r="F275" s="1"/>
      <c r="G275" s="24"/>
    </row>
    <row r="276">
      <c r="A276" s="21"/>
      <c r="B276" s="21"/>
      <c r="C276" s="22"/>
      <c r="D276" s="1"/>
      <c r="E276" s="1"/>
      <c r="F276" s="1"/>
      <c r="G276" s="24"/>
    </row>
    <row r="277">
      <c r="A277" s="21"/>
      <c r="B277" s="21"/>
      <c r="C277" s="22"/>
      <c r="D277" s="1"/>
      <c r="E277" s="1"/>
      <c r="F277" s="1"/>
      <c r="G277" s="24"/>
    </row>
    <row r="278">
      <c r="A278" s="21"/>
      <c r="B278" s="21"/>
      <c r="C278" s="22"/>
      <c r="D278" s="1"/>
      <c r="E278" s="1"/>
      <c r="F278" s="1"/>
      <c r="G278" s="24"/>
    </row>
    <row r="279">
      <c r="A279" s="21"/>
      <c r="B279" s="21"/>
      <c r="C279" s="22"/>
      <c r="D279" s="1"/>
      <c r="E279" s="1"/>
      <c r="F279" s="1"/>
      <c r="G279" s="24"/>
    </row>
    <row r="280">
      <c r="A280" s="21"/>
      <c r="B280" s="21"/>
      <c r="C280" s="22"/>
      <c r="D280" s="1"/>
      <c r="E280" s="1"/>
      <c r="F280" s="1"/>
      <c r="G280" s="24"/>
    </row>
    <row r="281">
      <c r="A281" s="21"/>
      <c r="B281" s="21"/>
      <c r="C281" s="22"/>
      <c r="D281" s="1"/>
      <c r="E281" s="1"/>
      <c r="F281" s="1"/>
      <c r="G281" s="24"/>
    </row>
    <row r="282">
      <c r="A282" s="21"/>
      <c r="B282" s="21"/>
      <c r="C282" s="22"/>
      <c r="D282" s="1"/>
      <c r="E282" s="1"/>
      <c r="F282" s="1"/>
      <c r="G282" s="24"/>
    </row>
    <row r="283">
      <c r="A283" s="21"/>
      <c r="B283" s="21"/>
      <c r="C283" s="22"/>
      <c r="D283" s="1"/>
      <c r="E283" s="1"/>
      <c r="F283" s="1"/>
      <c r="G283" s="24"/>
    </row>
    <row r="284">
      <c r="A284" s="21"/>
      <c r="B284" s="21"/>
      <c r="C284" s="22"/>
      <c r="D284" s="1"/>
      <c r="E284" s="1"/>
      <c r="F284" s="1"/>
      <c r="G284" s="24"/>
    </row>
    <row r="285">
      <c r="A285" s="21"/>
      <c r="B285" s="21"/>
      <c r="C285" s="22"/>
      <c r="D285" s="1"/>
      <c r="E285" s="1"/>
      <c r="F285" s="1"/>
      <c r="G285" s="24"/>
    </row>
    <row r="286">
      <c r="A286" s="21"/>
      <c r="B286" s="21"/>
      <c r="C286" s="22"/>
      <c r="D286" s="1"/>
      <c r="E286" s="1"/>
      <c r="F286" s="1"/>
      <c r="G286" s="24"/>
    </row>
    <row r="287">
      <c r="A287" s="21"/>
      <c r="B287" s="21"/>
      <c r="C287" s="22"/>
      <c r="D287" s="1"/>
      <c r="E287" s="1"/>
      <c r="F287" s="1"/>
      <c r="G287" s="24"/>
    </row>
    <row r="288">
      <c r="A288" s="21"/>
      <c r="B288" s="21"/>
      <c r="C288" s="22"/>
      <c r="D288" s="1"/>
      <c r="E288" s="1"/>
      <c r="F288" s="1"/>
      <c r="G288" s="24"/>
    </row>
    <row r="289">
      <c r="A289" s="21"/>
      <c r="B289" s="21"/>
      <c r="C289" s="22"/>
      <c r="D289" s="1"/>
      <c r="E289" s="1"/>
      <c r="F289" s="1"/>
      <c r="G289" s="24"/>
    </row>
    <row r="290">
      <c r="A290" s="21"/>
      <c r="B290" s="21"/>
      <c r="C290" s="22"/>
      <c r="D290" s="1"/>
      <c r="E290" s="1"/>
      <c r="F290" s="1"/>
      <c r="G290" s="24"/>
    </row>
    <row r="291">
      <c r="A291" s="21"/>
      <c r="B291" s="21"/>
      <c r="C291" s="22"/>
      <c r="D291" s="1"/>
      <c r="E291" s="1"/>
      <c r="F291" s="1"/>
      <c r="G291" s="24"/>
    </row>
    <row r="292">
      <c r="A292" s="21"/>
      <c r="B292" s="21"/>
      <c r="C292" s="22"/>
      <c r="D292" s="1"/>
      <c r="E292" s="1"/>
      <c r="F292" s="1"/>
      <c r="G292" s="24"/>
    </row>
    <row r="293">
      <c r="A293" s="21"/>
      <c r="B293" s="21"/>
      <c r="C293" s="22"/>
      <c r="D293" s="1"/>
      <c r="E293" s="1"/>
      <c r="F293" s="1"/>
      <c r="G293" s="24"/>
    </row>
    <row r="294">
      <c r="A294" s="21"/>
      <c r="B294" s="21"/>
      <c r="C294" s="22"/>
      <c r="D294" s="1"/>
      <c r="E294" s="1"/>
      <c r="F294" s="1"/>
      <c r="G294" s="24"/>
    </row>
    <row r="295">
      <c r="A295" s="21"/>
      <c r="B295" s="21"/>
      <c r="C295" s="22"/>
      <c r="D295" s="1"/>
      <c r="E295" s="1"/>
      <c r="F295" s="1"/>
      <c r="G295" s="24"/>
    </row>
    <row r="296">
      <c r="A296" s="21"/>
      <c r="B296" s="21"/>
      <c r="C296" s="22"/>
      <c r="D296" s="1"/>
      <c r="E296" s="1"/>
      <c r="F296" s="1"/>
      <c r="G296" s="24"/>
    </row>
    <row r="297">
      <c r="A297" s="21"/>
      <c r="B297" s="21"/>
      <c r="C297" s="22"/>
      <c r="D297" s="1"/>
      <c r="E297" s="1"/>
      <c r="F297" s="1"/>
      <c r="G297" s="24"/>
    </row>
    <row r="298">
      <c r="A298" s="21"/>
      <c r="B298" s="21"/>
      <c r="C298" s="22"/>
      <c r="D298" s="1"/>
      <c r="E298" s="1"/>
      <c r="F298" s="1"/>
      <c r="G298" s="24"/>
    </row>
    <row r="299">
      <c r="A299" s="21"/>
      <c r="B299" s="21"/>
      <c r="C299" s="22"/>
      <c r="D299" s="1"/>
      <c r="E299" s="1"/>
      <c r="F299" s="1"/>
      <c r="G299" s="24"/>
    </row>
    <row r="300">
      <c r="A300" s="21"/>
      <c r="B300" s="21"/>
      <c r="C300" s="22"/>
      <c r="D300" s="1"/>
      <c r="E300" s="1"/>
      <c r="F300" s="1"/>
      <c r="G300" s="24"/>
    </row>
    <row r="301">
      <c r="A301" s="21"/>
      <c r="B301" s="21"/>
      <c r="C301" s="22"/>
      <c r="D301" s="1"/>
      <c r="E301" s="1"/>
      <c r="F301" s="1"/>
      <c r="G301" s="24"/>
    </row>
    <row r="302">
      <c r="A302" s="21"/>
      <c r="B302" s="21"/>
      <c r="C302" s="22"/>
      <c r="D302" s="1"/>
      <c r="E302" s="1"/>
      <c r="F302" s="1"/>
      <c r="G302" s="24"/>
    </row>
    <row r="303">
      <c r="A303" s="21"/>
      <c r="B303" s="21"/>
      <c r="C303" s="22"/>
      <c r="D303" s="1"/>
      <c r="E303" s="1"/>
      <c r="F303" s="1"/>
      <c r="G303" s="24"/>
    </row>
    <row r="304">
      <c r="A304" s="21"/>
      <c r="B304" s="21"/>
      <c r="C304" s="22"/>
      <c r="D304" s="1"/>
      <c r="E304" s="1"/>
      <c r="F304" s="1"/>
      <c r="G304" s="24"/>
    </row>
    <row r="305">
      <c r="A305" s="21"/>
      <c r="B305" s="21"/>
      <c r="C305" s="22"/>
      <c r="D305" s="1"/>
      <c r="E305" s="1"/>
      <c r="F305" s="1"/>
      <c r="G305" s="24"/>
    </row>
    <row r="306">
      <c r="A306" s="21"/>
      <c r="B306" s="21"/>
      <c r="C306" s="22"/>
      <c r="D306" s="1"/>
      <c r="E306" s="1"/>
      <c r="F306" s="1"/>
      <c r="G306" s="24"/>
    </row>
    <row r="307">
      <c r="A307" s="21"/>
      <c r="B307" s="21"/>
      <c r="C307" s="22"/>
      <c r="D307" s="1"/>
      <c r="E307" s="1"/>
      <c r="F307" s="1"/>
      <c r="G307" s="24"/>
    </row>
    <row r="308">
      <c r="A308" s="21"/>
      <c r="B308" s="21"/>
      <c r="C308" s="22"/>
      <c r="D308" s="1"/>
      <c r="E308" s="1"/>
      <c r="F308" s="1"/>
      <c r="G308" s="24"/>
    </row>
    <row r="309">
      <c r="A309" s="21"/>
      <c r="B309" s="21"/>
      <c r="C309" s="22"/>
      <c r="D309" s="1"/>
      <c r="E309" s="1"/>
      <c r="F309" s="1"/>
      <c r="G309" s="24"/>
    </row>
    <row r="310">
      <c r="A310" s="21"/>
      <c r="B310" s="21"/>
      <c r="C310" s="22"/>
      <c r="D310" s="1"/>
      <c r="E310" s="1"/>
      <c r="F310" s="1"/>
      <c r="G310" s="24"/>
    </row>
    <row r="311">
      <c r="A311" s="21"/>
      <c r="B311" s="21"/>
      <c r="C311" s="22"/>
      <c r="D311" s="1"/>
      <c r="E311" s="1"/>
      <c r="F311" s="1"/>
      <c r="G311" s="24"/>
    </row>
    <row r="312">
      <c r="A312" s="21"/>
      <c r="B312" s="21"/>
      <c r="C312" s="22"/>
      <c r="D312" s="1"/>
      <c r="E312" s="1"/>
      <c r="F312" s="1"/>
      <c r="G312" s="24"/>
    </row>
    <row r="313">
      <c r="A313" s="21"/>
      <c r="B313" s="21"/>
      <c r="C313" s="22"/>
      <c r="D313" s="1"/>
      <c r="E313" s="1"/>
      <c r="F313" s="1"/>
      <c r="G313" s="24"/>
    </row>
    <row r="314">
      <c r="A314" s="21"/>
      <c r="B314" s="21"/>
      <c r="C314" s="22"/>
      <c r="D314" s="1"/>
      <c r="E314" s="1"/>
      <c r="F314" s="1"/>
      <c r="G314" s="24"/>
    </row>
    <row r="315">
      <c r="A315" s="21"/>
      <c r="B315" s="21"/>
      <c r="C315" s="22"/>
      <c r="D315" s="1"/>
      <c r="E315" s="1"/>
      <c r="F315" s="1"/>
      <c r="G315" s="24"/>
    </row>
    <row r="316">
      <c r="A316" s="21"/>
      <c r="B316" s="21"/>
      <c r="C316" s="22"/>
      <c r="D316" s="1"/>
      <c r="E316" s="1"/>
      <c r="F316" s="1"/>
      <c r="G316" s="24"/>
    </row>
    <row r="317">
      <c r="A317" s="21"/>
      <c r="B317" s="21"/>
      <c r="C317" s="22"/>
      <c r="D317" s="1"/>
      <c r="E317" s="1"/>
      <c r="F317" s="1"/>
      <c r="G317" s="24"/>
    </row>
    <row r="318">
      <c r="A318" s="21"/>
      <c r="B318" s="21"/>
      <c r="C318" s="22"/>
      <c r="D318" s="1"/>
      <c r="E318" s="1"/>
      <c r="F318" s="1"/>
      <c r="G318" s="24"/>
    </row>
    <row r="319">
      <c r="A319" s="21"/>
      <c r="B319" s="21"/>
      <c r="C319" s="22"/>
      <c r="D319" s="1"/>
      <c r="E319" s="1"/>
      <c r="F319" s="1"/>
      <c r="G319" s="24"/>
    </row>
    <row r="320">
      <c r="A320" s="21"/>
      <c r="B320" s="21"/>
      <c r="C320" s="22"/>
      <c r="D320" s="1"/>
      <c r="E320" s="1"/>
      <c r="F320" s="1"/>
      <c r="G320" s="24"/>
    </row>
    <row r="321">
      <c r="A321" s="21"/>
      <c r="B321" s="21"/>
      <c r="C321" s="22"/>
      <c r="D321" s="1"/>
      <c r="E321" s="1"/>
      <c r="F321" s="1"/>
      <c r="G321" s="24"/>
    </row>
    <row r="322">
      <c r="A322" s="21"/>
      <c r="B322" s="21"/>
      <c r="C322" s="22"/>
      <c r="D322" s="1"/>
      <c r="E322" s="1"/>
      <c r="F322" s="1"/>
      <c r="G322" s="24"/>
    </row>
    <row r="323">
      <c r="A323" s="21"/>
      <c r="B323" s="21"/>
      <c r="C323" s="22"/>
      <c r="D323" s="1"/>
      <c r="E323" s="1"/>
      <c r="F323" s="1"/>
      <c r="G323" s="24"/>
    </row>
    <row r="324">
      <c r="A324" s="21"/>
      <c r="B324" s="21"/>
      <c r="C324" s="22"/>
      <c r="D324" s="1"/>
      <c r="E324" s="1"/>
      <c r="F324" s="1"/>
      <c r="G324" s="24"/>
    </row>
    <row r="325">
      <c r="A325" s="21"/>
      <c r="B325" s="21"/>
      <c r="C325" s="22"/>
      <c r="D325" s="1"/>
      <c r="E325" s="1"/>
      <c r="F325" s="1"/>
      <c r="G325" s="24"/>
    </row>
    <row r="326">
      <c r="A326" s="21"/>
      <c r="B326" s="21"/>
      <c r="C326" s="22"/>
      <c r="D326" s="1"/>
      <c r="E326" s="1"/>
      <c r="F326" s="1"/>
      <c r="G326" s="24"/>
    </row>
    <row r="327">
      <c r="A327" s="21"/>
      <c r="B327" s="21"/>
      <c r="C327" s="22"/>
      <c r="D327" s="1"/>
      <c r="E327" s="1"/>
      <c r="F327" s="1"/>
      <c r="G327" s="24"/>
    </row>
    <row r="328">
      <c r="A328" s="21"/>
      <c r="B328" s="21"/>
      <c r="C328" s="22"/>
      <c r="D328" s="1"/>
      <c r="E328" s="1"/>
      <c r="F328" s="1"/>
      <c r="G328" s="24"/>
    </row>
    <row r="329">
      <c r="A329" s="21"/>
      <c r="B329" s="21"/>
      <c r="C329" s="22"/>
      <c r="D329" s="1"/>
      <c r="E329" s="1"/>
      <c r="F329" s="1"/>
      <c r="G329" s="24"/>
    </row>
    <row r="330">
      <c r="A330" s="21"/>
      <c r="B330" s="21"/>
      <c r="C330" s="22"/>
      <c r="D330" s="1"/>
      <c r="E330" s="1"/>
      <c r="F330" s="1"/>
      <c r="G330" s="24"/>
    </row>
    <row r="331">
      <c r="A331" s="21"/>
      <c r="B331" s="21"/>
      <c r="C331" s="22"/>
      <c r="D331" s="1"/>
      <c r="E331" s="1"/>
      <c r="F331" s="1"/>
      <c r="G331" s="24"/>
    </row>
    <row r="332">
      <c r="A332" s="21"/>
      <c r="B332" s="21"/>
      <c r="C332" s="22"/>
      <c r="D332" s="1"/>
      <c r="E332" s="1"/>
      <c r="F332" s="1"/>
      <c r="G332" s="24"/>
    </row>
    <row r="333">
      <c r="A333" s="21"/>
      <c r="B333" s="21"/>
      <c r="C333" s="22"/>
      <c r="D333" s="1"/>
      <c r="E333" s="1"/>
      <c r="F333" s="1"/>
      <c r="G333" s="24"/>
    </row>
    <row r="334">
      <c r="A334" s="21"/>
      <c r="B334" s="21"/>
      <c r="C334" s="22"/>
      <c r="D334" s="1"/>
      <c r="E334" s="1"/>
      <c r="F334" s="1"/>
      <c r="G334" s="24"/>
    </row>
    <row r="335">
      <c r="A335" s="21"/>
      <c r="B335" s="21"/>
      <c r="C335" s="22"/>
      <c r="D335" s="1"/>
      <c r="E335" s="1"/>
      <c r="F335" s="1"/>
      <c r="G335" s="24"/>
    </row>
    <row r="336">
      <c r="A336" s="21"/>
      <c r="B336" s="21"/>
      <c r="C336" s="22"/>
      <c r="D336" s="1"/>
      <c r="E336" s="1"/>
      <c r="F336" s="1"/>
      <c r="G336" s="24"/>
    </row>
    <row r="337">
      <c r="A337" s="21"/>
      <c r="B337" s="21"/>
      <c r="C337" s="22"/>
      <c r="D337" s="1"/>
      <c r="E337" s="1"/>
      <c r="F337" s="1"/>
      <c r="G337" s="24"/>
    </row>
    <row r="338">
      <c r="A338" s="21"/>
      <c r="B338" s="21"/>
      <c r="C338" s="22"/>
      <c r="D338" s="1"/>
      <c r="E338" s="1"/>
      <c r="F338" s="1"/>
      <c r="G338" s="24"/>
    </row>
    <row r="339">
      <c r="A339" s="21"/>
      <c r="B339" s="21"/>
      <c r="C339" s="22"/>
      <c r="D339" s="1"/>
      <c r="E339" s="1"/>
      <c r="F339" s="1"/>
      <c r="G339" s="24"/>
    </row>
    <row r="340">
      <c r="A340" s="21"/>
      <c r="B340" s="21"/>
      <c r="C340" s="22"/>
      <c r="D340" s="1"/>
      <c r="E340" s="1"/>
      <c r="F340" s="1"/>
      <c r="G340" s="24"/>
    </row>
    <row r="341">
      <c r="A341" s="21"/>
      <c r="B341" s="21"/>
      <c r="C341" s="22"/>
      <c r="D341" s="1"/>
      <c r="E341" s="1"/>
      <c r="F341" s="1"/>
      <c r="G341" s="24"/>
    </row>
    <row r="342">
      <c r="A342" s="21"/>
      <c r="B342" s="21"/>
      <c r="C342" s="22"/>
      <c r="D342" s="1"/>
      <c r="E342" s="1"/>
      <c r="F342" s="1"/>
      <c r="G342" s="24"/>
    </row>
    <row r="343">
      <c r="A343" s="21"/>
      <c r="B343" s="21"/>
      <c r="C343" s="22"/>
      <c r="D343" s="1"/>
      <c r="E343" s="1"/>
      <c r="F343" s="1"/>
      <c r="G343" s="24"/>
    </row>
    <row r="344">
      <c r="A344" s="21"/>
      <c r="B344" s="21"/>
      <c r="C344" s="22"/>
      <c r="D344" s="1"/>
      <c r="E344" s="1"/>
      <c r="F344" s="1"/>
      <c r="G344" s="24"/>
    </row>
    <row r="345">
      <c r="A345" s="21"/>
      <c r="B345" s="21"/>
      <c r="C345" s="22"/>
      <c r="D345" s="1"/>
      <c r="E345" s="1"/>
      <c r="F345" s="1"/>
      <c r="G345" s="24"/>
    </row>
    <row r="346">
      <c r="A346" s="21"/>
      <c r="B346" s="21"/>
      <c r="C346" s="22"/>
      <c r="D346" s="1"/>
      <c r="E346" s="1"/>
      <c r="F346" s="1"/>
      <c r="G346" s="24"/>
    </row>
    <row r="347">
      <c r="A347" s="21"/>
      <c r="B347" s="21"/>
      <c r="C347" s="22"/>
      <c r="D347" s="1"/>
      <c r="E347" s="1"/>
      <c r="F347" s="1"/>
      <c r="G347" s="24"/>
    </row>
    <row r="348">
      <c r="A348" s="21"/>
      <c r="B348" s="21"/>
      <c r="C348" s="22"/>
      <c r="D348" s="1"/>
      <c r="E348" s="1"/>
      <c r="F348" s="1"/>
      <c r="G348" s="24"/>
    </row>
    <row r="349">
      <c r="A349" s="21"/>
      <c r="B349" s="21"/>
      <c r="C349" s="22"/>
      <c r="D349" s="1"/>
      <c r="E349" s="1"/>
      <c r="F349" s="1"/>
      <c r="G349" s="24"/>
    </row>
    <row r="350">
      <c r="A350" s="21"/>
      <c r="B350" s="21"/>
      <c r="C350" s="22"/>
      <c r="D350" s="1"/>
      <c r="E350" s="1"/>
      <c r="F350" s="1"/>
      <c r="G350" s="24"/>
    </row>
    <row r="351">
      <c r="A351" s="21"/>
      <c r="B351" s="21"/>
      <c r="C351" s="22"/>
      <c r="D351" s="1"/>
      <c r="E351" s="1"/>
      <c r="F351" s="1"/>
      <c r="G351" s="24"/>
    </row>
    <row r="352">
      <c r="A352" s="21"/>
      <c r="B352" s="21"/>
      <c r="C352" s="22"/>
      <c r="D352" s="1"/>
      <c r="E352" s="1"/>
      <c r="F352" s="1"/>
      <c r="G352" s="24"/>
    </row>
    <row r="353">
      <c r="A353" s="21"/>
      <c r="B353" s="21"/>
      <c r="C353" s="22"/>
      <c r="D353" s="1"/>
      <c r="E353" s="1"/>
      <c r="F353" s="1"/>
      <c r="G353" s="24"/>
    </row>
    <row r="354">
      <c r="A354" s="21"/>
      <c r="B354" s="21"/>
      <c r="C354" s="22"/>
      <c r="D354" s="1"/>
      <c r="E354" s="1"/>
      <c r="F354" s="1"/>
      <c r="G354" s="24"/>
    </row>
    <row r="355">
      <c r="A355" s="21"/>
      <c r="B355" s="21"/>
      <c r="C355" s="22"/>
      <c r="D355" s="1"/>
      <c r="E355" s="1"/>
      <c r="F355" s="1"/>
      <c r="G355" s="24"/>
    </row>
    <row r="356">
      <c r="A356" s="21"/>
      <c r="B356" s="21"/>
      <c r="C356" s="22"/>
      <c r="D356" s="1"/>
      <c r="E356" s="1"/>
      <c r="F356" s="1"/>
      <c r="G356" s="24"/>
    </row>
    <row r="357">
      <c r="A357" s="21"/>
      <c r="B357" s="21"/>
      <c r="C357" s="22"/>
      <c r="D357" s="1"/>
      <c r="E357" s="1"/>
      <c r="F357" s="1"/>
      <c r="G357" s="24"/>
    </row>
    <row r="358">
      <c r="A358" s="21"/>
      <c r="B358" s="21"/>
      <c r="C358" s="22"/>
      <c r="D358" s="1"/>
      <c r="E358" s="1"/>
      <c r="F358" s="1"/>
      <c r="G358" s="24"/>
    </row>
    <row r="359">
      <c r="A359" s="21"/>
      <c r="B359" s="21"/>
      <c r="C359" s="22"/>
      <c r="D359" s="1"/>
      <c r="E359" s="1"/>
      <c r="F359" s="1"/>
      <c r="G359" s="24"/>
    </row>
    <row r="360">
      <c r="A360" s="21"/>
      <c r="B360" s="21"/>
      <c r="C360" s="22"/>
      <c r="D360" s="1"/>
      <c r="E360" s="1"/>
      <c r="F360" s="1"/>
      <c r="G360" s="24"/>
    </row>
    <row r="361">
      <c r="A361" s="21"/>
      <c r="B361" s="21"/>
      <c r="C361" s="22"/>
      <c r="D361" s="1"/>
      <c r="E361" s="1"/>
      <c r="F361" s="1"/>
      <c r="G361" s="24"/>
    </row>
    <row r="362">
      <c r="A362" s="21"/>
      <c r="B362" s="21"/>
      <c r="C362" s="22"/>
      <c r="D362" s="1"/>
      <c r="E362" s="1"/>
      <c r="F362" s="1"/>
      <c r="G362" s="24"/>
    </row>
    <row r="363">
      <c r="A363" s="21"/>
      <c r="B363" s="21"/>
      <c r="C363" s="22"/>
      <c r="D363" s="1"/>
      <c r="E363" s="1"/>
      <c r="F363" s="1"/>
      <c r="G363" s="24"/>
    </row>
    <row r="364">
      <c r="A364" s="21"/>
      <c r="B364" s="21"/>
      <c r="C364" s="22"/>
      <c r="D364" s="1"/>
      <c r="E364" s="1"/>
      <c r="F364" s="1"/>
      <c r="G364" s="24"/>
    </row>
    <row r="365">
      <c r="A365" s="21"/>
      <c r="B365" s="21"/>
      <c r="C365" s="22"/>
      <c r="D365" s="1"/>
      <c r="E365" s="1"/>
      <c r="F365" s="1"/>
      <c r="G365" s="24"/>
    </row>
    <row r="366">
      <c r="A366" s="21"/>
      <c r="B366" s="21"/>
      <c r="C366" s="22"/>
      <c r="D366" s="1"/>
      <c r="E366" s="1"/>
      <c r="F366" s="1"/>
      <c r="G366" s="24"/>
    </row>
    <row r="367">
      <c r="A367" s="21"/>
      <c r="B367" s="21"/>
      <c r="C367" s="22"/>
      <c r="D367" s="1"/>
      <c r="E367" s="1"/>
      <c r="F367" s="1"/>
      <c r="G367" s="24"/>
    </row>
    <row r="368">
      <c r="A368" s="21"/>
      <c r="B368" s="21"/>
      <c r="C368" s="22"/>
      <c r="D368" s="1"/>
      <c r="E368" s="1"/>
      <c r="F368" s="1"/>
      <c r="G368" s="24"/>
    </row>
    <row r="369">
      <c r="A369" s="21"/>
      <c r="B369" s="21"/>
      <c r="C369" s="22"/>
      <c r="D369" s="1"/>
      <c r="E369" s="1"/>
      <c r="F369" s="1"/>
      <c r="G369" s="24"/>
    </row>
    <row r="370">
      <c r="A370" s="21"/>
      <c r="B370" s="21"/>
      <c r="C370" s="22"/>
      <c r="D370" s="1"/>
      <c r="E370" s="1"/>
      <c r="F370" s="1"/>
      <c r="G370" s="24"/>
    </row>
    <row r="371">
      <c r="A371" s="21"/>
      <c r="B371" s="21"/>
      <c r="C371" s="22"/>
      <c r="D371" s="1"/>
      <c r="E371" s="1"/>
      <c r="F371" s="1"/>
      <c r="G371" s="24"/>
    </row>
    <row r="372">
      <c r="A372" s="21"/>
      <c r="B372" s="21"/>
      <c r="C372" s="22"/>
      <c r="D372" s="1"/>
      <c r="E372" s="1"/>
      <c r="F372" s="1"/>
      <c r="G372" s="24"/>
    </row>
    <row r="373">
      <c r="A373" s="21"/>
      <c r="B373" s="21"/>
      <c r="C373" s="22"/>
      <c r="D373" s="1"/>
      <c r="E373" s="1"/>
      <c r="F373" s="1"/>
      <c r="G373" s="24"/>
    </row>
    <row r="374">
      <c r="A374" s="21"/>
      <c r="B374" s="21"/>
      <c r="C374" s="22"/>
      <c r="D374" s="1"/>
      <c r="E374" s="1"/>
      <c r="F374" s="1"/>
      <c r="G374" s="24"/>
    </row>
    <row r="375">
      <c r="A375" s="21"/>
      <c r="B375" s="21"/>
      <c r="C375" s="22"/>
      <c r="D375" s="1"/>
      <c r="E375" s="1"/>
      <c r="F375" s="1"/>
      <c r="G375" s="24"/>
    </row>
    <row r="376">
      <c r="A376" s="21"/>
      <c r="B376" s="21"/>
      <c r="C376" s="22"/>
      <c r="D376" s="1"/>
      <c r="E376" s="1"/>
      <c r="F376" s="1"/>
      <c r="G376" s="24"/>
    </row>
    <row r="377">
      <c r="A377" s="21"/>
      <c r="B377" s="21"/>
      <c r="C377" s="22"/>
      <c r="D377" s="1"/>
      <c r="E377" s="1"/>
      <c r="F377" s="1"/>
      <c r="G377" s="24"/>
    </row>
    <row r="378">
      <c r="A378" s="21"/>
      <c r="B378" s="21"/>
      <c r="C378" s="22"/>
      <c r="D378" s="1"/>
      <c r="E378" s="1"/>
      <c r="F378" s="1"/>
      <c r="G378" s="24"/>
    </row>
    <row r="379">
      <c r="A379" s="21"/>
      <c r="B379" s="21"/>
      <c r="C379" s="22"/>
      <c r="D379" s="1"/>
      <c r="E379" s="1"/>
      <c r="F379" s="1"/>
      <c r="G379" s="24"/>
    </row>
    <row r="380">
      <c r="A380" s="21"/>
      <c r="B380" s="21"/>
      <c r="C380" s="22"/>
      <c r="D380" s="1"/>
      <c r="E380" s="1"/>
      <c r="F380" s="1"/>
      <c r="G380" s="24"/>
    </row>
    <row r="381">
      <c r="A381" s="21"/>
      <c r="B381" s="21"/>
      <c r="C381" s="22"/>
      <c r="D381" s="1"/>
      <c r="E381" s="1"/>
      <c r="F381" s="1"/>
      <c r="G381" s="24"/>
    </row>
    <row r="382">
      <c r="A382" s="21"/>
      <c r="B382" s="21"/>
      <c r="C382" s="22"/>
      <c r="D382" s="1"/>
      <c r="E382" s="1"/>
      <c r="F382" s="1"/>
      <c r="G382" s="24"/>
    </row>
    <row r="383">
      <c r="A383" s="21"/>
      <c r="B383" s="21"/>
      <c r="C383" s="22"/>
      <c r="D383" s="1"/>
      <c r="E383" s="1"/>
      <c r="F383" s="1"/>
      <c r="G383" s="24"/>
    </row>
    <row r="384">
      <c r="A384" s="21"/>
      <c r="B384" s="21"/>
      <c r="C384" s="22"/>
      <c r="D384" s="1"/>
      <c r="E384" s="1"/>
      <c r="F384" s="1"/>
      <c r="G384" s="24"/>
    </row>
    <row r="385">
      <c r="A385" s="21"/>
      <c r="B385" s="21"/>
      <c r="C385" s="22"/>
      <c r="D385" s="1"/>
      <c r="E385" s="1"/>
      <c r="F385" s="1"/>
      <c r="G385" s="24"/>
    </row>
    <row r="386">
      <c r="A386" s="21"/>
      <c r="B386" s="21"/>
      <c r="C386" s="22"/>
      <c r="D386" s="1"/>
      <c r="E386" s="1"/>
      <c r="F386" s="1"/>
      <c r="G386" s="24"/>
    </row>
    <row r="387">
      <c r="A387" s="21"/>
      <c r="B387" s="21"/>
      <c r="C387" s="22"/>
      <c r="D387" s="1"/>
      <c r="E387" s="1"/>
      <c r="F387" s="1"/>
      <c r="G387" s="24"/>
    </row>
    <row r="388">
      <c r="A388" s="21"/>
      <c r="B388" s="21"/>
      <c r="C388" s="22"/>
      <c r="D388" s="1"/>
      <c r="E388" s="1"/>
      <c r="F388" s="1"/>
      <c r="G388" s="24"/>
    </row>
    <row r="389">
      <c r="A389" s="21"/>
      <c r="B389" s="21"/>
      <c r="C389" s="22"/>
      <c r="D389" s="1"/>
      <c r="E389" s="1"/>
      <c r="F389" s="1"/>
      <c r="G389" s="24"/>
    </row>
    <row r="390">
      <c r="A390" s="21"/>
      <c r="B390" s="21"/>
      <c r="C390" s="22"/>
      <c r="D390" s="1"/>
      <c r="E390" s="1"/>
      <c r="F390" s="1"/>
      <c r="G390" s="24"/>
    </row>
    <row r="391">
      <c r="A391" s="21"/>
      <c r="B391" s="21"/>
      <c r="C391" s="22"/>
      <c r="D391" s="1"/>
      <c r="E391" s="1"/>
      <c r="F391" s="1"/>
      <c r="G391" s="24"/>
    </row>
    <row r="392">
      <c r="A392" s="21"/>
      <c r="B392" s="21"/>
      <c r="C392" s="22"/>
      <c r="D392" s="1"/>
      <c r="E392" s="1"/>
      <c r="F392" s="1"/>
      <c r="G392" s="24"/>
    </row>
    <row r="393">
      <c r="A393" s="21"/>
      <c r="B393" s="21"/>
      <c r="C393" s="22"/>
      <c r="D393" s="1"/>
      <c r="E393" s="1"/>
      <c r="F393" s="1"/>
      <c r="G393" s="24"/>
    </row>
    <row r="394">
      <c r="A394" s="21"/>
      <c r="B394" s="21"/>
      <c r="C394" s="22"/>
      <c r="D394" s="1"/>
      <c r="E394" s="1"/>
      <c r="F394" s="1"/>
      <c r="G394" s="24"/>
    </row>
    <row r="395">
      <c r="A395" s="21"/>
      <c r="B395" s="21"/>
      <c r="C395" s="22"/>
      <c r="D395" s="1"/>
      <c r="E395" s="1"/>
      <c r="F395" s="1"/>
      <c r="G395" s="24"/>
    </row>
    <row r="396">
      <c r="A396" s="21"/>
      <c r="B396" s="21"/>
      <c r="C396" s="22"/>
      <c r="D396" s="1"/>
      <c r="E396" s="1"/>
      <c r="F396" s="1"/>
      <c r="G396" s="24"/>
    </row>
    <row r="397">
      <c r="A397" s="21"/>
      <c r="B397" s="21"/>
      <c r="C397" s="22"/>
      <c r="D397" s="1"/>
      <c r="E397" s="1"/>
      <c r="F397" s="1"/>
      <c r="G397" s="24"/>
    </row>
    <row r="398">
      <c r="A398" s="21"/>
      <c r="B398" s="21"/>
      <c r="C398" s="22"/>
      <c r="D398" s="1"/>
      <c r="E398" s="1"/>
      <c r="F398" s="1"/>
      <c r="G398" s="24"/>
    </row>
    <row r="399">
      <c r="A399" s="21"/>
      <c r="B399" s="21"/>
      <c r="C399" s="22"/>
      <c r="D399" s="1"/>
      <c r="E399" s="1"/>
      <c r="F399" s="1"/>
      <c r="G399" s="24"/>
    </row>
    <row r="400">
      <c r="A400" s="21"/>
      <c r="B400" s="21"/>
      <c r="C400" s="22"/>
      <c r="D400" s="1"/>
      <c r="E400" s="1"/>
      <c r="F400" s="1"/>
      <c r="G400" s="24"/>
    </row>
    <row r="401">
      <c r="A401" s="21"/>
      <c r="B401" s="21"/>
      <c r="C401" s="22"/>
      <c r="D401" s="1"/>
      <c r="E401" s="1"/>
      <c r="F401" s="1"/>
      <c r="G401" s="24"/>
    </row>
    <row r="402">
      <c r="A402" s="21"/>
      <c r="B402" s="21"/>
      <c r="C402" s="22"/>
      <c r="D402" s="1"/>
      <c r="E402" s="1"/>
      <c r="F402" s="1"/>
      <c r="G402" s="24"/>
    </row>
    <row r="403">
      <c r="A403" s="21"/>
      <c r="B403" s="21"/>
      <c r="C403" s="22"/>
      <c r="D403" s="1"/>
      <c r="E403" s="1"/>
      <c r="F403" s="1"/>
      <c r="G403" s="24"/>
    </row>
    <row r="404">
      <c r="A404" s="21"/>
      <c r="B404" s="21"/>
      <c r="C404" s="22"/>
      <c r="D404" s="1"/>
      <c r="E404" s="1"/>
      <c r="F404" s="1"/>
      <c r="G404" s="24"/>
    </row>
    <row r="405">
      <c r="A405" s="21"/>
      <c r="B405" s="21"/>
      <c r="C405" s="22"/>
      <c r="D405" s="1"/>
      <c r="E405" s="1"/>
      <c r="F405" s="1"/>
      <c r="G405" s="24"/>
    </row>
    <row r="406">
      <c r="A406" s="21"/>
      <c r="B406" s="21"/>
      <c r="C406" s="22"/>
      <c r="D406" s="1"/>
      <c r="E406" s="1"/>
      <c r="F406" s="1"/>
      <c r="G406" s="24"/>
    </row>
    <row r="407">
      <c r="A407" s="21"/>
      <c r="B407" s="21"/>
      <c r="C407" s="22"/>
      <c r="D407" s="1"/>
      <c r="E407" s="1"/>
      <c r="F407" s="1"/>
      <c r="G407" s="24"/>
    </row>
    <row r="408">
      <c r="A408" s="21"/>
      <c r="B408" s="21"/>
      <c r="C408" s="22"/>
      <c r="D408" s="1"/>
      <c r="E408" s="1"/>
      <c r="F408" s="1"/>
      <c r="G408" s="24"/>
    </row>
    <row r="409">
      <c r="A409" s="21"/>
      <c r="B409" s="21"/>
      <c r="C409" s="22"/>
      <c r="D409" s="1"/>
      <c r="E409" s="1"/>
      <c r="F409" s="1"/>
      <c r="G409" s="24"/>
    </row>
    <row r="410">
      <c r="A410" s="21"/>
      <c r="B410" s="21"/>
      <c r="C410" s="22"/>
      <c r="D410" s="1"/>
      <c r="E410" s="1"/>
      <c r="F410" s="1"/>
      <c r="G410" s="24"/>
    </row>
    <row r="411">
      <c r="A411" s="21"/>
      <c r="B411" s="21"/>
      <c r="C411" s="22"/>
      <c r="D411" s="1"/>
      <c r="E411" s="1"/>
      <c r="F411" s="1"/>
      <c r="G411" s="24"/>
    </row>
    <row r="412">
      <c r="A412" s="21"/>
      <c r="B412" s="21"/>
      <c r="C412" s="22"/>
      <c r="D412" s="1"/>
      <c r="E412" s="1"/>
      <c r="F412" s="1"/>
      <c r="G412" s="24"/>
    </row>
    <row r="413">
      <c r="A413" s="21"/>
      <c r="B413" s="21"/>
      <c r="C413" s="22"/>
      <c r="D413" s="1"/>
      <c r="E413" s="1"/>
      <c r="F413" s="1"/>
      <c r="G413" s="24"/>
    </row>
    <row r="414">
      <c r="A414" s="21"/>
      <c r="B414" s="21"/>
      <c r="C414" s="22"/>
      <c r="D414" s="1"/>
      <c r="E414" s="1"/>
      <c r="F414" s="1"/>
      <c r="G414" s="24"/>
    </row>
    <row r="415">
      <c r="A415" s="21"/>
      <c r="B415" s="21"/>
      <c r="C415" s="22"/>
      <c r="D415" s="1"/>
      <c r="E415" s="1"/>
      <c r="F415" s="1"/>
      <c r="G415" s="24"/>
    </row>
    <row r="416">
      <c r="A416" s="21"/>
      <c r="B416" s="21"/>
      <c r="C416" s="22"/>
      <c r="D416" s="1"/>
      <c r="E416" s="1"/>
      <c r="F416" s="1"/>
      <c r="G416" s="24"/>
    </row>
    <row r="417">
      <c r="A417" s="21"/>
      <c r="B417" s="21"/>
      <c r="C417" s="22"/>
      <c r="D417" s="1"/>
      <c r="E417" s="1"/>
      <c r="F417" s="1"/>
      <c r="G417" s="24"/>
    </row>
    <row r="418">
      <c r="A418" s="21"/>
      <c r="B418" s="21"/>
      <c r="C418" s="22"/>
      <c r="D418" s="1"/>
      <c r="E418" s="1"/>
      <c r="F418" s="1"/>
      <c r="G418" s="24"/>
    </row>
    <row r="419">
      <c r="A419" s="21"/>
      <c r="B419" s="21"/>
      <c r="C419" s="22"/>
      <c r="D419" s="1"/>
      <c r="E419" s="1"/>
      <c r="F419" s="1"/>
      <c r="G419" s="24"/>
    </row>
    <row r="420">
      <c r="A420" s="21"/>
      <c r="B420" s="21"/>
      <c r="C420" s="22"/>
      <c r="D420" s="1"/>
      <c r="E420" s="1"/>
      <c r="F420" s="1"/>
      <c r="G420" s="24"/>
    </row>
    <row r="421">
      <c r="A421" s="21"/>
      <c r="B421" s="21"/>
      <c r="C421" s="22"/>
      <c r="D421" s="1"/>
      <c r="E421" s="1"/>
      <c r="F421" s="1"/>
      <c r="G421" s="24"/>
    </row>
    <row r="422">
      <c r="A422" s="21"/>
      <c r="B422" s="21"/>
      <c r="C422" s="22"/>
      <c r="D422" s="1"/>
      <c r="E422" s="1"/>
      <c r="F422" s="1"/>
      <c r="G422" s="24"/>
    </row>
    <row r="423">
      <c r="A423" s="21"/>
      <c r="B423" s="21"/>
      <c r="C423" s="22"/>
      <c r="D423" s="1"/>
      <c r="E423" s="1"/>
      <c r="F423" s="1"/>
      <c r="G423" s="24"/>
    </row>
    <row r="424">
      <c r="A424" s="21"/>
      <c r="B424" s="21"/>
      <c r="C424" s="22"/>
      <c r="D424" s="1"/>
      <c r="E424" s="1"/>
      <c r="F424" s="1"/>
      <c r="G424" s="24"/>
    </row>
    <row r="425">
      <c r="A425" s="21"/>
      <c r="B425" s="21"/>
      <c r="C425" s="22"/>
      <c r="D425" s="1"/>
      <c r="E425" s="1"/>
      <c r="F425" s="1"/>
      <c r="G425" s="24"/>
    </row>
    <row r="426">
      <c r="A426" s="21"/>
      <c r="B426" s="21"/>
      <c r="C426" s="22"/>
      <c r="D426" s="1"/>
      <c r="E426" s="1"/>
      <c r="F426" s="1"/>
      <c r="G426" s="24"/>
    </row>
    <row r="427">
      <c r="A427" s="21"/>
      <c r="B427" s="21"/>
      <c r="C427" s="22"/>
      <c r="D427" s="1"/>
      <c r="E427" s="1"/>
      <c r="F427" s="1"/>
      <c r="G427" s="24"/>
    </row>
    <row r="428">
      <c r="A428" s="21"/>
      <c r="B428" s="21"/>
      <c r="C428" s="22"/>
      <c r="D428" s="1"/>
      <c r="E428" s="1"/>
      <c r="F428" s="1"/>
      <c r="G428" s="24"/>
    </row>
    <row r="429">
      <c r="A429" s="21"/>
      <c r="B429" s="21"/>
      <c r="C429" s="22"/>
      <c r="D429" s="1"/>
      <c r="E429" s="1"/>
      <c r="F429" s="1"/>
      <c r="G429" s="24"/>
    </row>
    <row r="430">
      <c r="A430" s="21"/>
      <c r="B430" s="21"/>
      <c r="C430" s="22"/>
      <c r="D430" s="1"/>
      <c r="E430" s="1"/>
      <c r="F430" s="1"/>
      <c r="G430" s="24"/>
    </row>
    <row r="431">
      <c r="A431" s="21"/>
      <c r="B431" s="21"/>
      <c r="C431" s="22"/>
      <c r="D431" s="1"/>
      <c r="E431" s="1"/>
      <c r="F431" s="1"/>
      <c r="G431" s="24"/>
    </row>
    <row r="432">
      <c r="A432" s="21"/>
      <c r="B432" s="21"/>
      <c r="C432" s="22"/>
      <c r="D432" s="1"/>
      <c r="E432" s="1"/>
      <c r="F432" s="1"/>
      <c r="G432" s="24"/>
    </row>
    <row r="433">
      <c r="A433" s="21"/>
      <c r="B433" s="21"/>
      <c r="C433" s="22"/>
      <c r="D433" s="1"/>
      <c r="E433" s="1"/>
      <c r="F433" s="1"/>
      <c r="G433" s="24"/>
    </row>
    <row r="434">
      <c r="A434" s="21"/>
      <c r="B434" s="21"/>
      <c r="C434" s="22"/>
      <c r="D434" s="1"/>
      <c r="E434" s="1"/>
      <c r="F434" s="1"/>
      <c r="G434" s="24"/>
    </row>
    <row r="435">
      <c r="A435" s="21"/>
      <c r="B435" s="21"/>
      <c r="C435" s="22"/>
      <c r="D435" s="1"/>
      <c r="E435" s="1"/>
      <c r="F435" s="1"/>
      <c r="G435" s="24"/>
    </row>
    <row r="436">
      <c r="A436" s="21"/>
      <c r="B436" s="21"/>
      <c r="C436" s="22"/>
      <c r="D436" s="1"/>
      <c r="E436" s="1"/>
      <c r="F436" s="1"/>
      <c r="G436" s="24"/>
    </row>
    <row r="437">
      <c r="A437" s="21"/>
      <c r="B437" s="21"/>
      <c r="C437" s="22"/>
      <c r="D437" s="1"/>
      <c r="E437" s="1"/>
      <c r="F437" s="1"/>
      <c r="G437" s="24"/>
    </row>
    <row r="438">
      <c r="A438" s="21"/>
      <c r="B438" s="21"/>
      <c r="C438" s="22"/>
      <c r="D438" s="1"/>
      <c r="E438" s="1"/>
      <c r="F438" s="1"/>
      <c r="G438" s="24"/>
    </row>
    <row r="439">
      <c r="A439" s="21"/>
      <c r="B439" s="21"/>
      <c r="C439" s="22"/>
      <c r="D439" s="1"/>
      <c r="E439" s="1"/>
      <c r="F439" s="1"/>
      <c r="G439" s="24"/>
    </row>
    <row r="440">
      <c r="A440" s="21"/>
      <c r="B440" s="21"/>
      <c r="C440" s="22"/>
      <c r="D440" s="1"/>
      <c r="E440" s="1"/>
      <c r="F440" s="1"/>
      <c r="G440" s="24"/>
    </row>
    <row r="441">
      <c r="A441" s="21"/>
      <c r="B441" s="21"/>
      <c r="C441" s="22"/>
      <c r="D441" s="1"/>
      <c r="E441" s="1"/>
      <c r="F441" s="1"/>
      <c r="G441" s="24"/>
    </row>
    <row r="442">
      <c r="A442" s="21"/>
      <c r="B442" s="21"/>
      <c r="C442" s="22"/>
      <c r="D442" s="1"/>
      <c r="E442" s="1"/>
      <c r="F442" s="1"/>
      <c r="G442" s="24"/>
    </row>
    <row r="443">
      <c r="A443" s="21"/>
      <c r="B443" s="21"/>
      <c r="C443" s="22"/>
      <c r="D443" s="1"/>
      <c r="E443" s="1"/>
      <c r="F443" s="1"/>
      <c r="G443" s="24"/>
    </row>
    <row r="444">
      <c r="A444" s="21"/>
      <c r="B444" s="21"/>
      <c r="C444" s="22"/>
      <c r="D444" s="1"/>
      <c r="E444" s="1"/>
      <c r="F444" s="1"/>
      <c r="G444" s="24"/>
    </row>
    <row r="445">
      <c r="A445" s="21"/>
      <c r="B445" s="21"/>
      <c r="C445" s="22"/>
      <c r="D445" s="1"/>
      <c r="E445" s="1"/>
      <c r="F445" s="1"/>
      <c r="G445" s="24"/>
    </row>
    <row r="446">
      <c r="A446" s="21"/>
      <c r="B446" s="21"/>
      <c r="C446" s="22"/>
      <c r="D446" s="1"/>
      <c r="E446" s="1"/>
      <c r="F446" s="1"/>
      <c r="G446" s="24"/>
    </row>
    <row r="447">
      <c r="A447" s="21"/>
      <c r="B447" s="21"/>
      <c r="C447" s="22"/>
      <c r="D447" s="1"/>
      <c r="E447" s="1"/>
      <c r="F447" s="1"/>
      <c r="G447" s="24"/>
    </row>
    <row r="448">
      <c r="A448" s="21"/>
      <c r="B448" s="21"/>
      <c r="C448" s="22"/>
      <c r="D448" s="1"/>
      <c r="E448" s="1"/>
      <c r="F448" s="1"/>
      <c r="G448" s="24"/>
    </row>
    <row r="449">
      <c r="A449" s="21"/>
      <c r="B449" s="21"/>
      <c r="C449" s="22"/>
      <c r="D449" s="1"/>
      <c r="E449" s="1"/>
      <c r="F449" s="1"/>
      <c r="G449" s="24"/>
    </row>
    <row r="450">
      <c r="A450" s="21"/>
      <c r="B450" s="21"/>
      <c r="C450" s="22"/>
      <c r="D450" s="1"/>
      <c r="E450" s="1"/>
      <c r="F450" s="1"/>
      <c r="G450" s="24"/>
    </row>
    <row r="451">
      <c r="A451" s="21"/>
      <c r="B451" s="21"/>
      <c r="C451" s="22"/>
      <c r="D451" s="1"/>
      <c r="E451" s="1"/>
      <c r="F451" s="1"/>
      <c r="G451" s="24"/>
    </row>
    <row r="452">
      <c r="A452" s="21"/>
      <c r="B452" s="21"/>
      <c r="C452" s="22"/>
      <c r="D452" s="1"/>
      <c r="E452" s="1"/>
      <c r="F452" s="1"/>
      <c r="G452" s="24"/>
    </row>
    <row r="453">
      <c r="A453" s="21"/>
      <c r="B453" s="21"/>
      <c r="C453" s="22"/>
      <c r="D453" s="1"/>
      <c r="E453" s="1"/>
      <c r="F453" s="1"/>
      <c r="G453" s="24"/>
    </row>
    <row r="454">
      <c r="A454" s="21"/>
      <c r="B454" s="21"/>
      <c r="C454" s="22"/>
      <c r="D454" s="1"/>
      <c r="E454" s="1"/>
      <c r="F454" s="1"/>
      <c r="G454" s="24"/>
    </row>
    <row r="455">
      <c r="A455" s="21"/>
      <c r="B455" s="21"/>
      <c r="C455" s="22"/>
      <c r="D455" s="1"/>
      <c r="E455" s="1"/>
      <c r="F455" s="1"/>
      <c r="G455" s="24"/>
    </row>
    <row r="456">
      <c r="A456" s="21"/>
      <c r="B456" s="21"/>
      <c r="C456" s="22"/>
      <c r="D456" s="1"/>
      <c r="E456" s="1"/>
      <c r="F456" s="1"/>
      <c r="G456" s="24"/>
    </row>
    <row r="457">
      <c r="A457" s="21"/>
      <c r="B457" s="21"/>
      <c r="C457" s="22"/>
      <c r="D457" s="1"/>
      <c r="E457" s="1"/>
      <c r="F457" s="1"/>
      <c r="G457" s="24"/>
    </row>
    <row r="458">
      <c r="A458" s="21"/>
      <c r="B458" s="21"/>
      <c r="C458" s="22"/>
      <c r="D458" s="1"/>
      <c r="E458" s="1"/>
      <c r="F458" s="1"/>
      <c r="G458" s="24"/>
    </row>
    <row r="459">
      <c r="A459" s="21"/>
      <c r="B459" s="21"/>
      <c r="C459" s="22"/>
      <c r="D459" s="1"/>
      <c r="E459" s="1"/>
      <c r="F459" s="1"/>
      <c r="G459" s="24"/>
    </row>
    <row r="460">
      <c r="A460" s="21"/>
      <c r="B460" s="21"/>
      <c r="C460" s="22"/>
      <c r="D460" s="1"/>
      <c r="E460" s="1"/>
      <c r="F460" s="1"/>
      <c r="G460" s="24"/>
    </row>
    <row r="461">
      <c r="A461" s="21"/>
      <c r="B461" s="21"/>
      <c r="C461" s="22"/>
      <c r="D461" s="1"/>
      <c r="E461" s="1"/>
      <c r="F461" s="1"/>
      <c r="G461" s="24"/>
    </row>
    <row r="462">
      <c r="A462" s="21"/>
      <c r="B462" s="21"/>
      <c r="C462" s="22"/>
      <c r="D462" s="1"/>
      <c r="E462" s="1"/>
      <c r="F462" s="1"/>
      <c r="G462" s="24"/>
    </row>
    <row r="463">
      <c r="A463" s="21"/>
      <c r="B463" s="21"/>
      <c r="C463" s="22"/>
      <c r="D463" s="1"/>
      <c r="E463" s="1"/>
      <c r="F463" s="1"/>
      <c r="G463" s="24"/>
    </row>
    <row r="464">
      <c r="A464" s="21"/>
      <c r="B464" s="21"/>
      <c r="C464" s="22"/>
      <c r="D464" s="1"/>
      <c r="E464" s="1"/>
      <c r="F464" s="1"/>
      <c r="G464" s="24"/>
    </row>
    <row r="465">
      <c r="A465" s="21"/>
      <c r="B465" s="21"/>
      <c r="C465" s="22"/>
      <c r="D465" s="1"/>
      <c r="E465" s="1"/>
      <c r="F465" s="1"/>
      <c r="G465" s="24"/>
    </row>
    <row r="466">
      <c r="A466" s="21"/>
      <c r="B466" s="21"/>
      <c r="C466" s="22"/>
      <c r="D466" s="1"/>
      <c r="E466" s="1"/>
      <c r="F466" s="1"/>
      <c r="G466" s="24"/>
    </row>
    <row r="467">
      <c r="A467" s="21"/>
      <c r="B467" s="21"/>
      <c r="C467" s="22"/>
      <c r="D467" s="1"/>
      <c r="E467" s="1"/>
      <c r="F467" s="1"/>
      <c r="G467" s="24"/>
    </row>
    <row r="468">
      <c r="A468" s="21"/>
      <c r="B468" s="21"/>
      <c r="C468" s="22"/>
      <c r="D468" s="1"/>
      <c r="E468" s="1"/>
      <c r="F468" s="1"/>
      <c r="G468" s="24"/>
    </row>
    <row r="469">
      <c r="A469" s="21"/>
      <c r="B469" s="21"/>
      <c r="C469" s="22"/>
      <c r="D469" s="1"/>
      <c r="E469" s="1"/>
      <c r="F469" s="1"/>
      <c r="G469" s="24"/>
    </row>
    <row r="470">
      <c r="A470" s="21"/>
      <c r="B470" s="21"/>
      <c r="C470" s="22"/>
      <c r="D470" s="1"/>
      <c r="E470" s="1"/>
      <c r="F470" s="1"/>
      <c r="G470" s="24"/>
    </row>
    <row r="471">
      <c r="A471" s="21"/>
      <c r="B471" s="21"/>
      <c r="C471" s="22"/>
      <c r="D471" s="1"/>
      <c r="E471" s="1"/>
      <c r="F471" s="1"/>
      <c r="G471" s="24"/>
    </row>
    <row r="472">
      <c r="A472" s="21"/>
      <c r="B472" s="21"/>
      <c r="C472" s="22"/>
      <c r="D472" s="1"/>
      <c r="E472" s="1"/>
      <c r="F472" s="1"/>
      <c r="G472" s="24"/>
    </row>
    <row r="473">
      <c r="A473" s="21"/>
      <c r="B473" s="21"/>
      <c r="C473" s="22"/>
      <c r="D473" s="1"/>
      <c r="E473" s="1"/>
      <c r="F473" s="1"/>
      <c r="G473" s="24"/>
    </row>
    <row r="474">
      <c r="A474" s="21"/>
      <c r="B474" s="21"/>
      <c r="C474" s="22"/>
      <c r="D474" s="1"/>
      <c r="E474" s="1"/>
      <c r="F474" s="1"/>
      <c r="G474" s="24"/>
    </row>
    <row r="475">
      <c r="A475" s="21"/>
      <c r="B475" s="21"/>
      <c r="C475" s="22"/>
      <c r="D475" s="1"/>
      <c r="E475" s="1"/>
      <c r="F475" s="1"/>
      <c r="G475" s="24"/>
    </row>
    <row r="476">
      <c r="A476" s="21"/>
      <c r="B476" s="21"/>
      <c r="C476" s="22"/>
      <c r="D476" s="1"/>
      <c r="E476" s="1"/>
      <c r="F476" s="1"/>
      <c r="G476" s="24"/>
    </row>
    <row r="477">
      <c r="A477" s="21"/>
      <c r="B477" s="21"/>
      <c r="C477" s="22"/>
      <c r="D477" s="1"/>
      <c r="E477" s="1"/>
      <c r="F477" s="1"/>
      <c r="G477" s="24"/>
    </row>
    <row r="478">
      <c r="A478" s="21"/>
      <c r="B478" s="21"/>
      <c r="C478" s="22"/>
      <c r="D478" s="1"/>
      <c r="E478" s="1"/>
      <c r="F478" s="1"/>
      <c r="G478" s="24"/>
    </row>
    <row r="479">
      <c r="A479" s="21"/>
      <c r="B479" s="21"/>
      <c r="C479" s="22"/>
      <c r="D479" s="1"/>
      <c r="E479" s="1"/>
      <c r="F479" s="1"/>
      <c r="G479" s="24"/>
    </row>
    <row r="480">
      <c r="A480" s="21"/>
      <c r="B480" s="21"/>
      <c r="C480" s="22"/>
      <c r="D480" s="1"/>
      <c r="E480" s="1"/>
      <c r="F480" s="1"/>
      <c r="G480" s="24"/>
    </row>
    <row r="481">
      <c r="A481" s="21"/>
      <c r="B481" s="21"/>
      <c r="C481" s="22"/>
      <c r="D481" s="1"/>
      <c r="E481" s="1"/>
      <c r="F481" s="1"/>
      <c r="G481" s="24"/>
    </row>
    <row r="482">
      <c r="A482" s="21"/>
      <c r="B482" s="21"/>
      <c r="C482" s="22"/>
      <c r="D482" s="1"/>
      <c r="E482" s="1"/>
      <c r="F482" s="1"/>
      <c r="G482" s="24"/>
    </row>
    <row r="483">
      <c r="A483" s="21"/>
      <c r="B483" s="21"/>
      <c r="C483" s="22"/>
      <c r="D483" s="1"/>
      <c r="E483" s="1"/>
      <c r="F483" s="1"/>
      <c r="G483" s="24"/>
    </row>
    <row r="484">
      <c r="A484" s="21"/>
      <c r="B484" s="21"/>
      <c r="C484" s="22"/>
      <c r="D484" s="1"/>
      <c r="E484" s="1"/>
      <c r="F484" s="1"/>
      <c r="G484" s="24"/>
    </row>
    <row r="485">
      <c r="A485" s="21"/>
      <c r="B485" s="21"/>
      <c r="C485" s="22"/>
      <c r="D485" s="1"/>
      <c r="E485" s="1"/>
      <c r="F485" s="1"/>
      <c r="G485" s="24"/>
    </row>
    <row r="486">
      <c r="A486" s="21"/>
      <c r="B486" s="21"/>
      <c r="C486" s="22"/>
      <c r="D486" s="1"/>
      <c r="E486" s="1"/>
      <c r="F486" s="1"/>
      <c r="G486" s="24"/>
    </row>
    <row r="487">
      <c r="A487" s="21"/>
      <c r="B487" s="21"/>
      <c r="C487" s="22"/>
      <c r="D487" s="1"/>
      <c r="E487" s="1"/>
      <c r="F487" s="1"/>
      <c r="G487" s="24"/>
    </row>
    <row r="488">
      <c r="A488" s="21"/>
      <c r="B488" s="21"/>
      <c r="C488" s="22"/>
      <c r="D488" s="1"/>
      <c r="E488" s="1"/>
      <c r="F488" s="1"/>
      <c r="G488" s="24"/>
    </row>
    <row r="489">
      <c r="A489" s="21"/>
      <c r="B489" s="21"/>
      <c r="C489" s="22"/>
      <c r="D489" s="1"/>
      <c r="E489" s="1"/>
      <c r="F489" s="1"/>
      <c r="G489" s="24"/>
    </row>
    <row r="490">
      <c r="A490" s="21"/>
      <c r="B490" s="21"/>
      <c r="C490" s="22"/>
      <c r="D490" s="1"/>
      <c r="E490" s="1"/>
      <c r="F490" s="1"/>
      <c r="G490" s="24"/>
    </row>
    <row r="491">
      <c r="A491" s="21"/>
      <c r="B491" s="21"/>
      <c r="C491" s="22"/>
      <c r="D491" s="1"/>
      <c r="E491" s="1"/>
      <c r="F491" s="1"/>
      <c r="G491" s="24"/>
    </row>
    <row r="492">
      <c r="A492" s="21"/>
      <c r="B492" s="21"/>
      <c r="C492" s="22"/>
      <c r="D492" s="1"/>
      <c r="E492" s="1"/>
      <c r="F492" s="1"/>
      <c r="G492" s="24"/>
    </row>
    <row r="493">
      <c r="A493" s="21"/>
      <c r="B493" s="21"/>
      <c r="C493" s="22"/>
      <c r="D493" s="1"/>
      <c r="E493" s="1"/>
      <c r="F493" s="1"/>
      <c r="G493" s="24"/>
    </row>
    <row r="494">
      <c r="A494" s="21"/>
      <c r="B494" s="21"/>
      <c r="C494" s="22"/>
      <c r="D494" s="1"/>
      <c r="E494" s="1"/>
      <c r="F494" s="1"/>
      <c r="G494" s="24"/>
    </row>
    <row r="495">
      <c r="A495" s="21"/>
      <c r="B495" s="21"/>
      <c r="C495" s="22"/>
      <c r="D495" s="1"/>
      <c r="E495" s="1"/>
      <c r="F495" s="1"/>
      <c r="G495" s="24"/>
    </row>
    <row r="496">
      <c r="A496" s="21"/>
      <c r="B496" s="21"/>
      <c r="C496" s="22"/>
      <c r="D496" s="1"/>
      <c r="E496" s="1"/>
      <c r="F496" s="1"/>
      <c r="G496" s="24"/>
    </row>
    <row r="497">
      <c r="A497" s="21"/>
      <c r="B497" s="21"/>
      <c r="C497" s="22"/>
      <c r="D497" s="1"/>
      <c r="E497" s="1"/>
      <c r="F497" s="1"/>
      <c r="G497" s="24"/>
    </row>
    <row r="498">
      <c r="A498" s="21"/>
      <c r="B498" s="21"/>
      <c r="C498" s="22"/>
      <c r="D498" s="1"/>
      <c r="E498" s="1"/>
      <c r="F498" s="1"/>
      <c r="G498" s="24"/>
    </row>
    <row r="499">
      <c r="A499" s="21"/>
      <c r="B499" s="21"/>
      <c r="C499" s="22"/>
      <c r="D499" s="1"/>
      <c r="E499" s="1"/>
      <c r="F499" s="1"/>
      <c r="G499" s="24"/>
    </row>
    <row r="500">
      <c r="A500" s="21"/>
      <c r="B500" s="21"/>
      <c r="C500" s="22"/>
      <c r="D500" s="1"/>
      <c r="E500" s="1"/>
      <c r="F500" s="1"/>
      <c r="G500" s="24"/>
    </row>
    <row r="501">
      <c r="A501" s="21"/>
      <c r="B501" s="21"/>
      <c r="C501" s="22"/>
      <c r="D501" s="1"/>
      <c r="E501" s="1"/>
      <c r="F501" s="1"/>
      <c r="G501" s="24"/>
    </row>
    <row r="502">
      <c r="A502" s="21"/>
      <c r="B502" s="21"/>
      <c r="C502" s="22"/>
      <c r="D502" s="1"/>
      <c r="E502" s="1"/>
      <c r="F502" s="1"/>
      <c r="G502" s="24"/>
    </row>
    <row r="503">
      <c r="A503" s="21"/>
      <c r="B503" s="21"/>
      <c r="C503" s="22"/>
      <c r="D503" s="1"/>
      <c r="E503" s="1"/>
      <c r="F503" s="1"/>
      <c r="G503" s="24"/>
    </row>
    <row r="504">
      <c r="A504" s="21"/>
      <c r="B504" s="21"/>
      <c r="C504" s="22"/>
      <c r="D504" s="1"/>
      <c r="E504" s="1"/>
      <c r="F504" s="1"/>
      <c r="G504" s="24"/>
    </row>
    <row r="505">
      <c r="A505" s="21"/>
      <c r="B505" s="21"/>
      <c r="C505" s="22"/>
      <c r="D505" s="1"/>
      <c r="E505" s="1"/>
      <c r="F505" s="1"/>
      <c r="G505" s="24"/>
    </row>
    <row r="506">
      <c r="A506" s="21"/>
      <c r="B506" s="21"/>
      <c r="C506" s="22"/>
      <c r="D506" s="1"/>
      <c r="E506" s="1"/>
      <c r="F506" s="1"/>
      <c r="G506" s="24"/>
    </row>
    <row r="507">
      <c r="A507" s="21"/>
      <c r="B507" s="21"/>
      <c r="C507" s="22"/>
      <c r="D507" s="1"/>
      <c r="E507" s="1"/>
      <c r="F507" s="1"/>
      <c r="G507" s="24"/>
    </row>
    <row r="508">
      <c r="A508" s="21"/>
      <c r="B508" s="21"/>
      <c r="C508" s="22"/>
      <c r="D508" s="1"/>
      <c r="E508" s="1"/>
      <c r="F508" s="1"/>
      <c r="G508" s="24"/>
    </row>
    <row r="509">
      <c r="A509" s="21"/>
      <c r="B509" s="21"/>
      <c r="C509" s="22"/>
      <c r="D509" s="1"/>
      <c r="E509" s="1"/>
      <c r="F509" s="1"/>
      <c r="G509" s="24"/>
    </row>
    <row r="510">
      <c r="A510" s="21"/>
      <c r="B510" s="21"/>
      <c r="C510" s="22"/>
      <c r="D510" s="1"/>
      <c r="E510" s="1"/>
      <c r="F510" s="1"/>
      <c r="G510" s="24"/>
    </row>
    <row r="511">
      <c r="A511" s="21"/>
      <c r="B511" s="21"/>
      <c r="C511" s="22"/>
      <c r="D511" s="1"/>
      <c r="E511" s="1"/>
      <c r="F511" s="1"/>
      <c r="G511" s="24"/>
    </row>
    <row r="512">
      <c r="A512" s="21"/>
      <c r="B512" s="21"/>
      <c r="C512" s="22"/>
      <c r="D512" s="1"/>
      <c r="E512" s="1"/>
      <c r="F512" s="1"/>
      <c r="G512" s="24"/>
    </row>
    <row r="513">
      <c r="A513" s="21"/>
      <c r="B513" s="21"/>
      <c r="C513" s="22"/>
      <c r="D513" s="1"/>
      <c r="E513" s="1"/>
      <c r="F513" s="1"/>
      <c r="G513" s="24"/>
    </row>
    <row r="514">
      <c r="A514" s="21"/>
      <c r="B514" s="21"/>
      <c r="C514" s="22"/>
      <c r="D514" s="1"/>
      <c r="E514" s="1"/>
      <c r="F514" s="1"/>
      <c r="G514" s="24"/>
    </row>
    <row r="515">
      <c r="A515" s="21"/>
      <c r="B515" s="21"/>
      <c r="C515" s="22"/>
      <c r="D515" s="1"/>
      <c r="E515" s="1"/>
      <c r="F515" s="1"/>
      <c r="G515" s="24"/>
    </row>
    <row r="516">
      <c r="A516" s="21"/>
      <c r="B516" s="21"/>
      <c r="C516" s="22"/>
      <c r="D516" s="1"/>
      <c r="E516" s="1"/>
      <c r="F516" s="1"/>
      <c r="G516" s="24"/>
    </row>
    <row r="517">
      <c r="A517" s="21"/>
      <c r="B517" s="21"/>
      <c r="C517" s="22"/>
      <c r="D517" s="1"/>
      <c r="E517" s="1"/>
      <c r="F517" s="1"/>
      <c r="G517" s="24"/>
    </row>
    <row r="518">
      <c r="A518" s="21"/>
      <c r="B518" s="21"/>
      <c r="C518" s="22"/>
      <c r="D518" s="1"/>
      <c r="E518" s="1"/>
      <c r="F518" s="1"/>
      <c r="G518" s="24"/>
    </row>
    <row r="519">
      <c r="A519" s="21"/>
      <c r="B519" s="21"/>
      <c r="C519" s="22"/>
      <c r="D519" s="1"/>
      <c r="E519" s="1"/>
      <c r="F519" s="1"/>
      <c r="G519" s="24"/>
    </row>
    <row r="520">
      <c r="A520" s="21"/>
      <c r="B520" s="21"/>
      <c r="C520" s="22"/>
      <c r="D520" s="1"/>
      <c r="E520" s="1"/>
      <c r="F520" s="1"/>
      <c r="G520" s="24"/>
    </row>
    <row r="521">
      <c r="A521" s="21"/>
      <c r="B521" s="21"/>
      <c r="C521" s="22"/>
      <c r="D521" s="1"/>
      <c r="E521" s="1"/>
      <c r="F521" s="1"/>
      <c r="G521" s="24"/>
    </row>
    <row r="522">
      <c r="A522" s="21"/>
      <c r="B522" s="21"/>
      <c r="C522" s="22"/>
      <c r="D522" s="1"/>
      <c r="E522" s="1"/>
      <c r="F522" s="1"/>
      <c r="G522" s="24"/>
    </row>
    <row r="523">
      <c r="A523" s="21"/>
      <c r="B523" s="21"/>
      <c r="C523" s="22"/>
      <c r="D523" s="1"/>
      <c r="E523" s="1"/>
      <c r="F523" s="1"/>
      <c r="G523" s="24"/>
    </row>
    <row r="524">
      <c r="A524" s="21"/>
      <c r="B524" s="21"/>
      <c r="C524" s="22"/>
      <c r="D524" s="1"/>
      <c r="E524" s="1"/>
      <c r="F524" s="1"/>
      <c r="G524" s="24"/>
    </row>
    <row r="525">
      <c r="A525" s="21"/>
      <c r="B525" s="21"/>
      <c r="C525" s="22"/>
      <c r="D525" s="1"/>
      <c r="E525" s="1"/>
      <c r="F525" s="1"/>
      <c r="G525" s="24"/>
    </row>
    <row r="526">
      <c r="A526" s="21"/>
      <c r="B526" s="21"/>
      <c r="C526" s="22"/>
      <c r="D526" s="1"/>
      <c r="E526" s="1"/>
      <c r="F526" s="1"/>
      <c r="G526" s="24"/>
    </row>
    <row r="527">
      <c r="A527" s="21"/>
      <c r="B527" s="21"/>
      <c r="C527" s="22"/>
      <c r="D527" s="1"/>
      <c r="E527" s="1"/>
      <c r="F527" s="1"/>
      <c r="G527" s="24"/>
    </row>
    <row r="528">
      <c r="A528" s="21"/>
      <c r="B528" s="21"/>
      <c r="C528" s="22"/>
      <c r="D528" s="1"/>
      <c r="E528" s="1"/>
      <c r="F528" s="1"/>
      <c r="G528" s="24"/>
    </row>
    <row r="529">
      <c r="A529" s="21"/>
      <c r="B529" s="21"/>
      <c r="C529" s="22"/>
      <c r="D529" s="1"/>
      <c r="E529" s="1"/>
      <c r="F529" s="1"/>
      <c r="G529" s="24"/>
    </row>
    <row r="530">
      <c r="A530" s="21"/>
      <c r="B530" s="21"/>
      <c r="C530" s="22"/>
      <c r="D530" s="1"/>
      <c r="E530" s="1"/>
      <c r="F530" s="1"/>
      <c r="G530" s="24"/>
    </row>
    <row r="531">
      <c r="A531" s="21"/>
      <c r="B531" s="21"/>
      <c r="C531" s="22"/>
      <c r="D531" s="1"/>
      <c r="E531" s="1"/>
      <c r="F531" s="1"/>
      <c r="G531" s="24"/>
    </row>
    <row r="532">
      <c r="A532" s="21"/>
      <c r="B532" s="21"/>
      <c r="C532" s="22"/>
      <c r="D532" s="1"/>
      <c r="E532" s="1"/>
      <c r="F532" s="1"/>
      <c r="G532" s="24"/>
    </row>
    <row r="533">
      <c r="A533" s="21"/>
      <c r="B533" s="21"/>
      <c r="C533" s="22"/>
      <c r="D533" s="1"/>
      <c r="E533" s="1"/>
      <c r="F533" s="1"/>
      <c r="G533" s="24"/>
    </row>
    <row r="534">
      <c r="A534" s="21"/>
      <c r="B534" s="21"/>
      <c r="C534" s="22"/>
      <c r="D534" s="1"/>
      <c r="E534" s="1"/>
      <c r="F534" s="1"/>
      <c r="G534" s="24"/>
    </row>
    <row r="535">
      <c r="A535" s="21"/>
      <c r="B535" s="21"/>
      <c r="C535" s="22"/>
      <c r="D535" s="1"/>
      <c r="E535" s="1"/>
      <c r="F535" s="1"/>
      <c r="G535" s="24"/>
    </row>
    <row r="536">
      <c r="A536" s="21"/>
      <c r="B536" s="21"/>
      <c r="C536" s="22"/>
      <c r="D536" s="1"/>
      <c r="E536" s="1"/>
      <c r="F536" s="1"/>
      <c r="G536" s="24"/>
    </row>
    <row r="537">
      <c r="A537" s="21"/>
      <c r="B537" s="21"/>
      <c r="C537" s="22"/>
      <c r="D537" s="1"/>
      <c r="E537" s="1"/>
      <c r="F537" s="1"/>
      <c r="G537" s="24"/>
    </row>
    <row r="538">
      <c r="A538" s="21"/>
      <c r="B538" s="21"/>
      <c r="C538" s="22"/>
      <c r="D538" s="1"/>
      <c r="E538" s="1"/>
      <c r="F538" s="1"/>
      <c r="G538" s="24"/>
    </row>
    <row r="539">
      <c r="A539" s="21"/>
      <c r="B539" s="21"/>
      <c r="C539" s="22"/>
      <c r="D539" s="1"/>
      <c r="E539" s="1"/>
      <c r="F539" s="1"/>
      <c r="G539" s="24"/>
    </row>
    <row r="540">
      <c r="A540" s="21"/>
      <c r="B540" s="21"/>
      <c r="C540" s="22"/>
      <c r="D540" s="1"/>
      <c r="E540" s="1"/>
      <c r="F540" s="1"/>
      <c r="G540" s="24"/>
    </row>
    <row r="541">
      <c r="A541" s="21"/>
      <c r="B541" s="21"/>
      <c r="C541" s="22"/>
      <c r="D541" s="1"/>
      <c r="E541" s="1"/>
      <c r="F541" s="1"/>
      <c r="G541" s="24"/>
    </row>
    <row r="542">
      <c r="A542" s="21"/>
      <c r="B542" s="21"/>
      <c r="C542" s="22"/>
      <c r="D542" s="1"/>
      <c r="E542" s="1"/>
      <c r="F542" s="1"/>
      <c r="G542" s="24"/>
    </row>
    <row r="543">
      <c r="A543" s="21"/>
      <c r="B543" s="21"/>
      <c r="C543" s="22"/>
      <c r="D543" s="1"/>
      <c r="E543" s="1"/>
      <c r="F543" s="1"/>
      <c r="G543" s="24"/>
    </row>
    <row r="544">
      <c r="A544" s="21"/>
      <c r="B544" s="21"/>
      <c r="C544" s="22"/>
      <c r="D544" s="1"/>
      <c r="E544" s="1"/>
      <c r="F544" s="1"/>
      <c r="G544" s="24"/>
    </row>
    <row r="545">
      <c r="A545" s="21"/>
      <c r="B545" s="21"/>
      <c r="C545" s="22"/>
      <c r="D545" s="1"/>
      <c r="E545" s="1"/>
      <c r="F545" s="1"/>
      <c r="G545" s="24"/>
    </row>
    <row r="546">
      <c r="A546" s="21"/>
      <c r="B546" s="21"/>
      <c r="C546" s="22"/>
      <c r="D546" s="1"/>
      <c r="E546" s="1"/>
      <c r="F546" s="1"/>
      <c r="G546" s="24"/>
    </row>
    <row r="547">
      <c r="A547" s="21"/>
      <c r="B547" s="21"/>
      <c r="C547" s="22"/>
      <c r="D547" s="1"/>
      <c r="E547" s="1"/>
      <c r="F547" s="1"/>
      <c r="G547" s="24"/>
    </row>
    <row r="548">
      <c r="A548" s="21"/>
      <c r="B548" s="21"/>
      <c r="C548" s="22"/>
      <c r="D548" s="1"/>
      <c r="E548" s="1"/>
      <c r="F548" s="1"/>
      <c r="G548" s="24"/>
    </row>
    <row r="549">
      <c r="A549" s="21"/>
      <c r="B549" s="21"/>
      <c r="C549" s="22"/>
      <c r="D549" s="1"/>
      <c r="E549" s="1"/>
      <c r="F549" s="1"/>
      <c r="G549" s="24"/>
    </row>
    <row r="550">
      <c r="A550" s="21"/>
      <c r="B550" s="21"/>
      <c r="C550" s="22"/>
      <c r="D550" s="1"/>
      <c r="E550" s="1"/>
      <c r="F550" s="1"/>
      <c r="G550" s="24"/>
    </row>
    <row r="551">
      <c r="A551" s="21"/>
      <c r="B551" s="21"/>
      <c r="C551" s="22"/>
      <c r="D551" s="1"/>
      <c r="E551" s="1"/>
      <c r="F551" s="1"/>
      <c r="G551" s="24"/>
    </row>
    <row r="552">
      <c r="A552" s="21"/>
      <c r="B552" s="21"/>
      <c r="C552" s="22"/>
      <c r="D552" s="1"/>
      <c r="E552" s="1"/>
      <c r="F552" s="1"/>
      <c r="G552" s="24"/>
    </row>
    <row r="553">
      <c r="A553" s="21"/>
      <c r="B553" s="21"/>
      <c r="C553" s="22"/>
      <c r="D553" s="1"/>
      <c r="E553" s="1"/>
      <c r="F553" s="1"/>
      <c r="G553" s="24"/>
    </row>
    <row r="554">
      <c r="A554" s="21"/>
      <c r="B554" s="21"/>
      <c r="C554" s="22"/>
      <c r="D554" s="1"/>
      <c r="E554" s="1"/>
      <c r="F554" s="1"/>
      <c r="G554" s="24"/>
    </row>
    <row r="555">
      <c r="A555" s="21"/>
      <c r="B555" s="21"/>
      <c r="C555" s="22"/>
      <c r="D555" s="1"/>
      <c r="E555" s="1"/>
      <c r="F555" s="1"/>
      <c r="G555" s="24"/>
    </row>
    <row r="556">
      <c r="A556" s="21"/>
      <c r="B556" s="21"/>
      <c r="C556" s="22"/>
      <c r="D556" s="1"/>
      <c r="E556" s="1"/>
      <c r="F556" s="1"/>
      <c r="G556" s="24"/>
    </row>
    <row r="557">
      <c r="A557" s="21"/>
      <c r="B557" s="21"/>
      <c r="C557" s="22"/>
      <c r="D557" s="1"/>
      <c r="E557" s="1"/>
      <c r="F557" s="1"/>
      <c r="G557" s="24"/>
    </row>
    <row r="558">
      <c r="A558" s="21"/>
      <c r="B558" s="21"/>
      <c r="C558" s="22"/>
      <c r="D558" s="1"/>
      <c r="E558" s="1"/>
      <c r="F558" s="1"/>
      <c r="G558" s="24"/>
    </row>
    <row r="559">
      <c r="A559" s="21"/>
      <c r="B559" s="21"/>
      <c r="C559" s="22"/>
      <c r="D559" s="1"/>
      <c r="E559" s="1"/>
      <c r="F559" s="1"/>
      <c r="G559" s="24"/>
    </row>
    <row r="560">
      <c r="A560" s="21"/>
      <c r="B560" s="21"/>
      <c r="C560" s="22"/>
      <c r="D560" s="1"/>
      <c r="E560" s="1"/>
      <c r="F560" s="1"/>
      <c r="G560" s="24"/>
    </row>
    <row r="561">
      <c r="A561" s="21"/>
      <c r="B561" s="21"/>
      <c r="C561" s="22"/>
      <c r="D561" s="1"/>
      <c r="E561" s="1"/>
      <c r="F561" s="1"/>
      <c r="G561" s="24"/>
    </row>
    <row r="562">
      <c r="A562" s="21"/>
      <c r="B562" s="21"/>
      <c r="C562" s="22"/>
      <c r="D562" s="1"/>
      <c r="E562" s="1"/>
      <c r="F562" s="1"/>
      <c r="G562" s="24"/>
    </row>
    <row r="563">
      <c r="A563" s="21"/>
      <c r="B563" s="21"/>
      <c r="C563" s="22"/>
      <c r="D563" s="1"/>
      <c r="E563" s="1"/>
      <c r="F563" s="1"/>
      <c r="G563" s="24"/>
    </row>
    <row r="564">
      <c r="A564" s="21"/>
      <c r="B564" s="21"/>
      <c r="C564" s="22"/>
      <c r="D564" s="1"/>
      <c r="E564" s="1"/>
      <c r="F564" s="1"/>
      <c r="G564" s="24"/>
    </row>
    <row r="565">
      <c r="A565" s="21"/>
      <c r="B565" s="21"/>
      <c r="C565" s="22"/>
      <c r="D565" s="1"/>
      <c r="E565" s="1"/>
      <c r="F565" s="1"/>
      <c r="G565" s="24"/>
    </row>
    <row r="566">
      <c r="A566" s="21"/>
      <c r="B566" s="21"/>
      <c r="C566" s="22"/>
      <c r="D566" s="1"/>
      <c r="E566" s="1"/>
      <c r="F566" s="1"/>
      <c r="G566" s="24"/>
    </row>
    <row r="567">
      <c r="A567" s="21"/>
      <c r="B567" s="21"/>
      <c r="C567" s="22"/>
      <c r="D567" s="1"/>
      <c r="E567" s="1"/>
      <c r="F567" s="1"/>
      <c r="G567" s="24"/>
    </row>
    <row r="568">
      <c r="A568" s="21"/>
      <c r="B568" s="21"/>
      <c r="C568" s="22"/>
      <c r="D568" s="1"/>
      <c r="E568" s="1"/>
      <c r="F568" s="1"/>
      <c r="G568" s="24"/>
    </row>
    <row r="569">
      <c r="A569" s="21"/>
      <c r="B569" s="21"/>
      <c r="C569" s="22"/>
      <c r="D569" s="1"/>
      <c r="E569" s="1"/>
      <c r="F569" s="1"/>
      <c r="G569" s="24"/>
    </row>
    <row r="570">
      <c r="A570" s="21"/>
      <c r="B570" s="21"/>
      <c r="C570" s="22"/>
      <c r="D570" s="1"/>
      <c r="E570" s="1"/>
      <c r="F570" s="1"/>
      <c r="G570" s="24"/>
    </row>
    <row r="571">
      <c r="A571" s="21"/>
      <c r="B571" s="21"/>
      <c r="C571" s="22"/>
      <c r="D571" s="1"/>
      <c r="E571" s="1"/>
      <c r="F571" s="1"/>
      <c r="G571" s="24"/>
    </row>
    <row r="572">
      <c r="A572" s="21"/>
      <c r="B572" s="21"/>
      <c r="C572" s="22"/>
      <c r="D572" s="1"/>
      <c r="E572" s="1"/>
      <c r="F572" s="1"/>
      <c r="G572" s="24"/>
    </row>
    <row r="573">
      <c r="A573" s="21"/>
      <c r="B573" s="21"/>
      <c r="C573" s="22"/>
      <c r="D573" s="1"/>
      <c r="E573" s="1"/>
      <c r="F573" s="1"/>
      <c r="G573" s="24"/>
    </row>
    <row r="574">
      <c r="A574" s="21"/>
      <c r="B574" s="21"/>
      <c r="C574" s="22"/>
      <c r="D574" s="1"/>
      <c r="E574" s="1"/>
      <c r="F574" s="1"/>
      <c r="G574" s="24"/>
    </row>
    <row r="575">
      <c r="A575" s="21"/>
      <c r="B575" s="21"/>
      <c r="C575" s="22"/>
      <c r="D575" s="1"/>
      <c r="E575" s="1"/>
      <c r="F575" s="1"/>
      <c r="G575" s="24"/>
    </row>
    <row r="576">
      <c r="A576" s="21"/>
      <c r="B576" s="21"/>
      <c r="C576" s="22"/>
      <c r="D576" s="1"/>
      <c r="E576" s="1"/>
      <c r="F576" s="1"/>
      <c r="G576" s="24"/>
    </row>
    <row r="577">
      <c r="A577" s="21"/>
      <c r="B577" s="21"/>
      <c r="C577" s="22"/>
      <c r="D577" s="1"/>
      <c r="E577" s="1"/>
      <c r="F577" s="1"/>
      <c r="G577" s="24"/>
    </row>
    <row r="578">
      <c r="A578" s="21"/>
      <c r="B578" s="21"/>
      <c r="C578" s="22"/>
      <c r="D578" s="1"/>
      <c r="E578" s="1"/>
      <c r="F578" s="1"/>
      <c r="G578" s="24"/>
    </row>
    <row r="579">
      <c r="A579" s="21"/>
      <c r="B579" s="21"/>
      <c r="C579" s="22"/>
      <c r="D579" s="1"/>
      <c r="E579" s="1"/>
      <c r="F579" s="1"/>
      <c r="G579" s="24"/>
    </row>
    <row r="580">
      <c r="A580" s="21"/>
      <c r="B580" s="21"/>
      <c r="C580" s="22"/>
      <c r="D580" s="1"/>
      <c r="E580" s="1"/>
      <c r="F580" s="1"/>
      <c r="G580" s="24"/>
    </row>
    <row r="581">
      <c r="A581" s="21"/>
      <c r="B581" s="21"/>
      <c r="C581" s="22"/>
      <c r="D581" s="1"/>
      <c r="E581" s="1"/>
      <c r="F581" s="1"/>
      <c r="G581" s="24"/>
    </row>
    <row r="582">
      <c r="A582" s="21"/>
      <c r="B582" s="21"/>
      <c r="C582" s="22"/>
      <c r="D582" s="1"/>
      <c r="E582" s="1"/>
      <c r="F582" s="1"/>
      <c r="G582" s="24"/>
    </row>
    <row r="583">
      <c r="A583" s="21"/>
      <c r="B583" s="21"/>
      <c r="C583" s="22"/>
      <c r="D583" s="1"/>
      <c r="E583" s="1"/>
      <c r="F583" s="1"/>
      <c r="G583" s="24"/>
    </row>
    <row r="584">
      <c r="A584" s="21"/>
      <c r="B584" s="21"/>
      <c r="C584" s="22"/>
      <c r="D584" s="1"/>
      <c r="E584" s="1"/>
      <c r="F584" s="1"/>
      <c r="G584" s="24"/>
    </row>
    <row r="585">
      <c r="A585" s="21"/>
      <c r="B585" s="21"/>
      <c r="C585" s="22"/>
      <c r="D585" s="1"/>
      <c r="E585" s="1"/>
      <c r="F585" s="1"/>
      <c r="G585" s="24"/>
    </row>
    <row r="586">
      <c r="A586" s="21"/>
      <c r="B586" s="21"/>
      <c r="C586" s="22"/>
      <c r="D586" s="1"/>
      <c r="E586" s="1"/>
      <c r="F586" s="1"/>
      <c r="G586" s="24"/>
    </row>
    <row r="587">
      <c r="A587" s="21"/>
      <c r="B587" s="21"/>
      <c r="C587" s="22"/>
      <c r="D587" s="1"/>
      <c r="E587" s="1"/>
      <c r="F587" s="1"/>
      <c r="G587" s="24"/>
    </row>
    <row r="588">
      <c r="A588" s="21"/>
      <c r="B588" s="21"/>
      <c r="C588" s="22"/>
      <c r="D588" s="1"/>
      <c r="E588" s="1"/>
      <c r="F588" s="1"/>
      <c r="G588" s="24"/>
    </row>
    <row r="589">
      <c r="A589" s="21"/>
      <c r="B589" s="21"/>
      <c r="C589" s="22"/>
      <c r="D589" s="1"/>
      <c r="E589" s="1"/>
      <c r="F589" s="1"/>
      <c r="G589" s="24"/>
    </row>
    <row r="590">
      <c r="A590" s="21"/>
      <c r="B590" s="21"/>
      <c r="C590" s="22"/>
      <c r="D590" s="1"/>
      <c r="E590" s="1"/>
      <c r="F590" s="1"/>
      <c r="G590" s="24"/>
    </row>
    <row r="591">
      <c r="A591" s="21"/>
      <c r="B591" s="21"/>
      <c r="C591" s="22"/>
      <c r="D591" s="1"/>
      <c r="E591" s="1"/>
      <c r="F591" s="1"/>
      <c r="G591" s="24"/>
    </row>
    <row r="592">
      <c r="A592" s="21"/>
      <c r="B592" s="21"/>
      <c r="C592" s="22"/>
      <c r="D592" s="1"/>
      <c r="E592" s="1"/>
      <c r="F592" s="1"/>
      <c r="G592" s="24"/>
    </row>
    <row r="593">
      <c r="A593" s="21"/>
      <c r="B593" s="21"/>
      <c r="C593" s="22"/>
      <c r="D593" s="1"/>
      <c r="E593" s="1"/>
      <c r="F593" s="1"/>
      <c r="G593" s="24"/>
    </row>
    <row r="594">
      <c r="A594" s="21"/>
      <c r="B594" s="21"/>
      <c r="C594" s="22"/>
      <c r="D594" s="1"/>
      <c r="E594" s="1"/>
      <c r="F594" s="1"/>
      <c r="G594" s="24"/>
    </row>
    <row r="595">
      <c r="A595" s="21"/>
      <c r="B595" s="21"/>
      <c r="C595" s="22"/>
      <c r="D595" s="1"/>
      <c r="E595" s="1"/>
      <c r="F595" s="1"/>
      <c r="G595" s="24"/>
    </row>
    <row r="596">
      <c r="A596" s="21"/>
      <c r="B596" s="21"/>
      <c r="C596" s="22"/>
      <c r="D596" s="1"/>
      <c r="E596" s="1"/>
      <c r="F596" s="1"/>
      <c r="G596" s="24"/>
    </row>
    <row r="597">
      <c r="A597" s="21"/>
      <c r="B597" s="21"/>
      <c r="C597" s="22"/>
      <c r="D597" s="1"/>
      <c r="E597" s="1"/>
      <c r="F597" s="1"/>
      <c r="G597" s="24"/>
    </row>
    <row r="598">
      <c r="A598" s="21"/>
      <c r="B598" s="21"/>
      <c r="C598" s="22"/>
      <c r="D598" s="1"/>
      <c r="E598" s="1"/>
      <c r="F598" s="1"/>
      <c r="G598" s="24"/>
    </row>
    <row r="599">
      <c r="A599" s="21"/>
      <c r="B599" s="21"/>
      <c r="C599" s="22"/>
      <c r="D599" s="1"/>
      <c r="E599" s="1"/>
      <c r="F599" s="1"/>
      <c r="G599" s="24"/>
    </row>
    <row r="600">
      <c r="A600" s="21"/>
      <c r="B600" s="21"/>
      <c r="C600" s="22"/>
      <c r="D600" s="1"/>
      <c r="E600" s="1"/>
      <c r="F600" s="1"/>
      <c r="G600" s="24"/>
    </row>
    <row r="601">
      <c r="A601" s="21"/>
      <c r="B601" s="21"/>
      <c r="C601" s="22"/>
      <c r="D601" s="1"/>
      <c r="E601" s="1"/>
      <c r="F601" s="1"/>
      <c r="G601" s="24"/>
    </row>
    <row r="602">
      <c r="A602" s="21"/>
      <c r="B602" s="21"/>
      <c r="C602" s="22"/>
      <c r="D602" s="1"/>
      <c r="E602" s="1"/>
      <c r="F602" s="1"/>
      <c r="G602" s="24"/>
    </row>
    <row r="603">
      <c r="A603" s="21"/>
      <c r="B603" s="21"/>
      <c r="C603" s="22"/>
      <c r="D603" s="1"/>
      <c r="E603" s="1"/>
      <c r="F603" s="1"/>
      <c r="G603" s="24"/>
    </row>
    <row r="604">
      <c r="A604" s="21"/>
      <c r="B604" s="21"/>
      <c r="C604" s="22"/>
      <c r="D604" s="1"/>
      <c r="E604" s="1"/>
      <c r="F604" s="1"/>
      <c r="G604" s="24"/>
    </row>
    <row r="605">
      <c r="A605" s="21"/>
      <c r="B605" s="21"/>
      <c r="C605" s="22"/>
      <c r="D605" s="1"/>
      <c r="E605" s="1"/>
      <c r="F605" s="1"/>
      <c r="G605" s="24"/>
    </row>
    <row r="606">
      <c r="A606" s="21"/>
      <c r="B606" s="21"/>
      <c r="C606" s="22"/>
      <c r="D606" s="1"/>
      <c r="E606" s="1"/>
      <c r="F606" s="1"/>
      <c r="G606" s="24"/>
    </row>
    <row r="607">
      <c r="A607" s="21"/>
      <c r="B607" s="21"/>
      <c r="C607" s="22"/>
      <c r="D607" s="1"/>
      <c r="E607" s="1"/>
      <c r="F607" s="1"/>
      <c r="G607" s="24"/>
    </row>
    <row r="608">
      <c r="A608" s="21"/>
      <c r="B608" s="21"/>
      <c r="C608" s="22"/>
      <c r="D608" s="1"/>
      <c r="E608" s="1"/>
      <c r="F608" s="1"/>
      <c r="G608" s="24"/>
    </row>
    <row r="609">
      <c r="A609" s="21"/>
      <c r="B609" s="21"/>
      <c r="C609" s="22"/>
      <c r="D609" s="1"/>
      <c r="E609" s="1"/>
      <c r="F609" s="1"/>
      <c r="G609" s="24"/>
    </row>
    <row r="610">
      <c r="A610" s="21"/>
      <c r="B610" s="21"/>
      <c r="C610" s="22"/>
      <c r="D610" s="1"/>
      <c r="E610" s="1"/>
      <c r="F610" s="1"/>
      <c r="G610" s="24"/>
    </row>
    <row r="611">
      <c r="A611" s="21"/>
      <c r="B611" s="21"/>
      <c r="C611" s="22"/>
      <c r="D611" s="1"/>
      <c r="E611" s="1"/>
      <c r="F611" s="1"/>
      <c r="G611" s="24"/>
    </row>
    <row r="612">
      <c r="A612" s="21"/>
      <c r="B612" s="21"/>
      <c r="C612" s="22"/>
      <c r="D612" s="1"/>
      <c r="E612" s="1"/>
      <c r="F612" s="1"/>
      <c r="G612" s="24"/>
    </row>
    <row r="613">
      <c r="A613" s="21"/>
      <c r="B613" s="21"/>
      <c r="C613" s="22"/>
      <c r="D613" s="1"/>
      <c r="E613" s="1"/>
      <c r="F613" s="1"/>
      <c r="G613" s="24"/>
    </row>
    <row r="614">
      <c r="A614" s="21"/>
      <c r="B614" s="21"/>
      <c r="C614" s="22"/>
      <c r="D614" s="1"/>
      <c r="E614" s="1"/>
      <c r="F614" s="1"/>
      <c r="G614" s="24"/>
    </row>
    <row r="615">
      <c r="A615" s="21"/>
      <c r="B615" s="21"/>
      <c r="C615" s="22"/>
      <c r="D615" s="1"/>
      <c r="E615" s="1"/>
      <c r="F615" s="1"/>
      <c r="G615" s="24"/>
    </row>
    <row r="616">
      <c r="A616" s="21"/>
      <c r="B616" s="21"/>
      <c r="C616" s="22"/>
      <c r="D616" s="1"/>
      <c r="E616" s="1"/>
      <c r="F616" s="1"/>
      <c r="G616" s="24"/>
    </row>
    <row r="617">
      <c r="A617" s="21"/>
      <c r="B617" s="21"/>
      <c r="C617" s="22"/>
      <c r="D617" s="1"/>
      <c r="E617" s="1"/>
      <c r="F617" s="1"/>
      <c r="G617" s="24"/>
    </row>
    <row r="618">
      <c r="A618" s="21"/>
      <c r="B618" s="21"/>
      <c r="C618" s="22"/>
      <c r="D618" s="1"/>
      <c r="E618" s="1"/>
      <c r="F618" s="1"/>
      <c r="G618" s="24"/>
    </row>
    <row r="619">
      <c r="A619" s="21"/>
      <c r="B619" s="21"/>
      <c r="C619" s="22"/>
      <c r="D619" s="1"/>
      <c r="E619" s="1"/>
      <c r="F619" s="1"/>
      <c r="G619" s="24"/>
    </row>
    <row r="620">
      <c r="A620" s="21"/>
      <c r="B620" s="21"/>
      <c r="C620" s="22"/>
      <c r="D620" s="1"/>
      <c r="E620" s="1"/>
      <c r="F620" s="1"/>
      <c r="G620" s="24"/>
    </row>
    <row r="621">
      <c r="A621" s="21"/>
      <c r="B621" s="21"/>
      <c r="C621" s="22"/>
      <c r="D621" s="1"/>
      <c r="E621" s="1"/>
      <c r="F621" s="1"/>
      <c r="G621" s="24"/>
    </row>
    <row r="622">
      <c r="A622" s="21"/>
      <c r="B622" s="21"/>
      <c r="C622" s="22"/>
      <c r="D622" s="1"/>
      <c r="E622" s="1"/>
      <c r="F622" s="1"/>
      <c r="G622" s="24"/>
    </row>
    <row r="623">
      <c r="A623" s="21"/>
      <c r="B623" s="21"/>
      <c r="C623" s="22"/>
      <c r="D623" s="1"/>
      <c r="E623" s="1"/>
      <c r="F623" s="1"/>
      <c r="G623" s="24"/>
    </row>
    <row r="624">
      <c r="A624" s="21"/>
      <c r="B624" s="21"/>
      <c r="C624" s="22"/>
      <c r="D624" s="1"/>
      <c r="E624" s="1"/>
      <c r="F624" s="1"/>
      <c r="G624" s="24"/>
    </row>
    <row r="625">
      <c r="A625" s="21"/>
      <c r="B625" s="21"/>
      <c r="C625" s="22"/>
      <c r="D625" s="1"/>
      <c r="E625" s="1"/>
      <c r="F625" s="1"/>
      <c r="G625" s="24"/>
    </row>
    <row r="626">
      <c r="A626" s="21"/>
      <c r="B626" s="21"/>
      <c r="C626" s="22"/>
      <c r="D626" s="1"/>
      <c r="E626" s="1"/>
      <c r="F626" s="1"/>
      <c r="G626" s="24"/>
    </row>
    <row r="627">
      <c r="A627" s="21"/>
      <c r="B627" s="21"/>
      <c r="C627" s="22"/>
      <c r="D627" s="1"/>
      <c r="E627" s="1"/>
      <c r="F627" s="1"/>
      <c r="G627" s="24"/>
    </row>
    <row r="628">
      <c r="A628" s="21"/>
      <c r="B628" s="21"/>
      <c r="C628" s="22"/>
      <c r="D628" s="1"/>
      <c r="E628" s="1"/>
      <c r="F628" s="1"/>
      <c r="G628" s="24"/>
    </row>
    <row r="629">
      <c r="A629" s="21"/>
      <c r="B629" s="21"/>
      <c r="C629" s="22"/>
      <c r="D629" s="1"/>
      <c r="E629" s="1"/>
      <c r="F629" s="1"/>
      <c r="G629" s="24"/>
    </row>
    <row r="630">
      <c r="A630" s="21"/>
      <c r="B630" s="21"/>
      <c r="C630" s="22"/>
      <c r="D630" s="1"/>
      <c r="E630" s="1"/>
      <c r="F630" s="1"/>
      <c r="G630" s="24"/>
    </row>
    <row r="631">
      <c r="A631" s="21"/>
      <c r="B631" s="21"/>
      <c r="C631" s="22"/>
      <c r="D631" s="1"/>
      <c r="E631" s="1"/>
      <c r="F631" s="1"/>
      <c r="G631" s="24"/>
    </row>
    <row r="632">
      <c r="A632" s="21"/>
      <c r="B632" s="21"/>
      <c r="C632" s="22"/>
      <c r="D632" s="1"/>
      <c r="E632" s="1"/>
      <c r="F632" s="1"/>
      <c r="G632" s="24"/>
    </row>
    <row r="633">
      <c r="A633" s="21"/>
      <c r="B633" s="21"/>
      <c r="C633" s="22"/>
      <c r="D633" s="1"/>
      <c r="E633" s="1"/>
      <c r="F633" s="1"/>
      <c r="G633" s="24"/>
    </row>
    <row r="634">
      <c r="A634" s="21"/>
      <c r="B634" s="21"/>
      <c r="C634" s="22"/>
      <c r="D634" s="1"/>
      <c r="E634" s="1"/>
      <c r="F634" s="1"/>
      <c r="G634" s="24"/>
    </row>
    <row r="635">
      <c r="A635" s="21"/>
      <c r="B635" s="21"/>
      <c r="C635" s="22"/>
      <c r="D635" s="1"/>
      <c r="E635" s="1"/>
      <c r="F635" s="1"/>
      <c r="G635" s="24"/>
    </row>
    <row r="636">
      <c r="A636" s="21"/>
      <c r="B636" s="21"/>
      <c r="C636" s="22"/>
      <c r="D636" s="1"/>
      <c r="E636" s="1"/>
      <c r="F636" s="1"/>
      <c r="G636" s="24"/>
    </row>
    <row r="637">
      <c r="A637" s="21"/>
      <c r="B637" s="21"/>
      <c r="C637" s="22"/>
      <c r="D637" s="1"/>
      <c r="E637" s="1"/>
      <c r="F637" s="1"/>
      <c r="G637" s="24"/>
    </row>
    <row r="638">
      <c r="A638" s="21"/>
      <c r="B638" s="21"/>
      <c r="C638" s="22"/>
      <c r="D638" s="1"/>
      <c r="E638" s="1"/>
      <c r="F638" s="1"/>
      <c r="G638" s="24"/>
    </row>
    <row r="639">
      <c r="A639" s="21"/>
      <c r="B639" s="21"/>
      <c r="C639" s="22"/>
      <c r="D639" s="1"/>
      <c r="E639" s="1"/>
      <c r="F639" s="1"/>
      <c r="G639" s="24"/>
    </row>
    <row r="640">
      <c r="A640" s="21"/>
      <c r="B640" s="21"/>
      <c r="C640" s="22"/>
      <c r="D640" s="1"/>
      <c r="E640" s="1"/>
      <c r="F640" s="1"/>
      <c r="G640" s="24"/>
    </row>
    <row r="641">
      <c r="A641" s="21"/>
      <c r="B641" s="21"/>
      <c r="C641" s="22"/>
      <c r="D641" s="1"/>
      <c r="E641" s="1"/>
      <c r="F641" s="1"/>
      <c r="G641" s="24"/>
    </row>
    <row r="642">
      <c r="A642" s="21"/>
      <c r="B642" s="21"/>
      <c r="C642" s="22"/>
      <c r="D642" s="1"/>
      <c r="E642" s="1"/>
      <c r="F642" s="1"/>
      <c r="G642" s="24"/>
    </row>
    <row r="643">
      <c r="A643" s="21"/>
      <c r="B643" s="21"/>
      <c r="C643" s="22"/>
      <c r="D643" s="1"/>
      <c r="E643" s="1"/>
      <c r="F643" s="1"/>
      <c r="G643" s="24"/>
    </row>
    <row r="644">
      <c r="A644" s="21"/>
      <c r="B644" s="21"/>
      <c r="C644" s="22"/>
      <c r="D644" s="1"/>
      <c r="E644" s="1"/>
      <c r="F644" s="1"/>
      <c r="G644" s="24"/>
    </row>
    <row r="645">
      <c r="A645" s="21"/>
      <c r="B645" s="21"/>
      <c r="C645" s="22"/>
      <c r="D645" s="1"/>
      <c r="E645" s="1"/>
      <c r="F645" s="1"/>
      <c r="G645" s="24"/>
    </row>
    <row r="646">
      <c r="A646" s="21"/>
      <c r="B646" s="21"/>
      <c r="C646" s="22"/>
      <c r="D646" s="1"/>
      <c r="E646" s="1"/>
      <c r="F646" s="1"/>
      <c r="G646" s="24"/>
    </row>
    <row r="647">
      <c r="A647" s="21"/>
      <c r="B647" s="21"/>
      <c r="C647" s="22"/>
      <c r="D647" s="1"/>
      <c r="E647" s="1"/>
      <c r="F647" s="1"/>
      <c r="G647" s="24"/>
    </row>
    <row r="648">
      <c r="A648" s="21"/>
      <c r="B648" s="21"/>
      <c r="C648" s="22"/>
      <c r="D648" s="1"/>
      <c r="E648" s="1"/>
      <c r="F648" s="1"/>
      <c r="G648" s="24"/>
    </row>
    <row r="649">
      <c r="A649" s="21"/>
      <c r="B649" s="21"/>
      <c r="C649" s="22"/>
      <c r="D649" s="1"/>
      <c r="E649" s="1"/>
      <c r="F649" s="1"/>
      <c r="G649" s="24"/>
    </row>
    <row r="650">
      <c r="A650" s="21"/>
      <c r="B650" s="21"/>
      <c r="C650" s="22"/>
      <c r="D650" s="1"/>
      <c r="E650" s="1"/>
      <c r="F650" s="1"/>
      <c r="G650" s="24"/>
    </row>
    <row r="651">
      <c r="A651" s="21"/>
      <c r="B651" s="21"/>
      <c r="C651" s="22"/>
      <c r="D651" s="1"/>
      <c r="E651" s="1"/>
      <c r="F651" s="1"/>
      <c r="G651" s="24"/>
    </row>
    <row r="652">
      <c r="A652" s="21"/>
      <c r="B652" s="21"/>
      <c r="C652" s="22"/>
      <c r="D652" s="1"/>
      <c r="E652" s="1"/>
      <c r="F652" s="1"/>
      <c r="G652" s="24"/>
    </row>
    <row r="653">
      <c r="A653" s="21"/>
      <c r="B653" s="21"/>
      <c r="C653" s="22"/>
      <c r="D653" s="1"/>
      <c r="E653" s="1"/>
      <c r="F653" s="1"/>
      <c r="G653" s="24"/>
    </row>
    <row r="654">
      <c r="A654" s="21"/>
      <c r="B654" s="21"/>
      <c r="C654" s="22"/>
      <c r="D654" s="1"/>
      <c r="E654" s="1"/>
      <c r="F654" s="1"/>
      <c r="G654" s="24"/>
    </row>
    <row r="655">
      <c r="A655" s="21"/>
      <c r="B655" s="21"/>
      <c r="C655" s="22"/>
      <c r="D655" s="1"/>
      <c r="E655" s="1"/>
      <c r="F655" s="1"/>
      <c r="G655" s="24"/>
    </row>
    <row r="656">
      <c r="A656" s="21"/>
      <c r="B656" s="21"/>
      <c r="C656" s="22"/>
      <c r="D656" s="1"/>
      <c r="E656" s="1"/>
      <c r="F656" s="1"/>
      <c r="G656" s="24"/>
    </row>
    <row r="657">
      <c r="A657" s="21"/>
      <c r="B657" s="21"/>
      <c r="C657" s="22"/>
      <c r="D657" s="1"/>
      <c r="E657" s="1"/>
      <c r="F657" s="1"/>
      <c r="G657" s="24"/>
    </row>
    <row r="658">
      <c r="A658" s="21"/>
      <c r="B658" s="21"/>
      <c r="C658" s="22"/>
      <c r="D658" s="1"/>
      <c r="E658" s="1"/>
      <c r="F658" s="1"/>
      <c r="G658" s="24"/>
    </row>
    <row r="659">
      <c r="A659" s="21"/>
      <c r="B659" s="21"/>
      <c r="C659" s="22"/>
      <c r="D659" s="1"/>
      <c r="E659" s="1"/>
      <c r="F659" s="1"/>
      <c r="G659" s="24"/>
    </row>
    <row r="660">
      <c r="A660" s="21"/>
      <c r="B660" s="21"/>
      <c r="C660" s="22"/>
      <c r="D660" s="1"/>
      <c r="E660" s="1"/>
      <c r="F660" s="1"/>
      <c r="G660" s="24"/>
    </row>
    <row r="661">
      <c r="A661" s="21"/>
      <c r="B661" s="21"/>
      <c r="C661" s="22"/>
      <c r="D661" s="1"/>
      <c r="E661" s="1"/>
      <c r="F661" s="1"/>
      <c r="G661" s="24"/>
    </row>
    <row r="662">
      <c r="A662" s="21"/>
      <c r="B662" s="21"/>
      <c r="C662" s="22"/>
      <c r="D662" s="1"/>
      <c r="E662" s="1"/>
      <c r="F662" s="1"/>
      <c r="G662" s="24"/>
    </row>
    <row r="663">
      <c r="A663" s="21"/>
      <c r="B663" s="21"/>
      <c r="C663" s="22"/>
      <c r="D663" s="1"/>
      <c r="E663" s="1"/>
      <c r="F663" s="1"/>
      <c r="G663" s="24"/>
    </row>
    <row r="664">
      <c r="A664" s="21"/>
      <c r="B664" s="21"/>
      <c r="C664" s="22"/>
      <c r="D664" s="1"/>
      <c r="E664" s="1"/>
      <c r="F664" s="1"/>
      <c r="G664" s="24"/>
    </row>
    <row r="665">
      <c r="A665" s="21"/>
      <c r="B665" s="21"/>
      <c r="C665" s="22"/>
      <c r="D665" s="1"/>
      <c r="E665" s="1"/>
      <c r="F665" s="1"/>
      <c r="G665" s="24"/>
    </row>
    <row r="666">
      <c r="A666" s="21"/>
      <c r="B666" s="21"/>
      <c r="C666" s="22"/>
      <c r="D666" s="1"/>
      <c r="E666" s="1"/>
      <c r="F666" s="1"/>
      <c r="G666" s="24"/>
    </row>
    <row r="667">
      <c r="A667" s="21"/>
      <c r="B667" s="21"/>
      <c r="C667" s="22"/>
      <c r="D667" s="1"/>
      <c r="E667" s="1"/>
      <c r="F667" s="1"/>
      <c r="G667" s="24"/>
    </row>
    <row r="668">
      <c r="A668" s="21"/>
      <c r="B668" s="21"/>
      <c r="C668" s="22"/>
      <c r="D668" s="1"/>
      <c r="E668" s="1"/>
      <c r="F668" s="1"/>
      <c r="G668" s="24"/>
    </row>
    <row r="669">
      <c r="A669" s="21"/>
      <c r="B669" s="21"/>
      <c r="C669" s="22"/>
      <c r="D669" s="1"/>
      <c r="E669" s="1"/>
      <c r="F669" s="1"/>
      <c r="G669" s="24"/>
    </row>
    <row r="670">
      <c r="A670" s="21"/>
      <c r="B670" s="21"/>
      <c r="C670" s="22"/>
      <c r="D670" s="1"/>
      <c r="E670" s="1"/>
      <c r="F670" s="1"/>
      <c r="G670" s="24"/>
    </row>
    <row r="671">
      <c r="A671" s="21"/>
      <c r="B671" s="21"/>
      <c r="C671" s="22"/>
      <c r="D671" s="1"/>
      <c r="E671" s="1"/>
      <c r="F671" s="1"/>
      <c r="G671" s="24"/>
    </row>
    <row r="672">
      <c r="A672" s="21"/>
      <c r="B672" s="21"/>
      <c r="C672" s="22"/>
      <c r="D672" s="1"/>
      <c r="E672" s="1"/>
      <c r="F672" s="1"/>
      <c r="G672" s="24"/>
    </row>
    <row r="673">
      <c r="A673" s="21"/>
      <c r="B673" s="21"/>
      <c r="C673" s="22"/>
      <c r="D673" s="1"/>
      <c r="E673" s="1"/>
      <c r="F673" s="1"/>
      <c r="G673" s="24"/>
    </row>
    <row r="674">
      <c r="A674" s="21"/>
      <c r="B674" s="21"/>
      <c r="C674" s="22"/>
      <c r="D674" s="1"/>
      <c r="E674" s="1"/>
      <c r="F674" s="1"/>
      <c r="G674" s="24"/>
    </row>
    <row r="675">
      <c r="A675" s="21"/>
      <c r="B675" s="21"/>
      <c r="C675" s="22"/>
      <c r="D675" s="1"/>
      <c r="E675" s="1"/>
      <c r="F675" s="1"/>
      <c r="G675" s="24"/>
    </row>
    <row r="676">
      <c r="A676" s="21"/>
      <c r="B676" s="21"/>
      <c r="C676" s="22"/>
      <c r="D676" s="1"/>
      <c r="E676" s="1"/>
      <c r="F676" s="1"/>
      <c r="G676" s="24"/>
    </row>
    <row r="677">
      <c r="A677" s="21"/>
      <c r="B677" s="21"/>
      <c r="C677" s="22"/>
      <c r="D677" s="1"/>
      <c r="E677" s="1"/>
      <c r="F677" s="1"/>
      <c r="G677" s="24"/>
    </row>
    <row r="678">
      <c r="A678" s="21"/>
      <c r="B678" s="21"/>
      <c r="C678" s="22"/>
      <c r="D678" s="1"/>
      <c r="E678" s="1"/>
      <c r="F678" s="1"/>
      <c r="G678" s="24"/>
    </row>
    <row r="679">
      <c r="A679" s="21"/>
      <c r="B679" s="21"/>
      <c r="C679" s="22"/>
      <c r="D679" s="1"/>
      <c r="E679" s="1"/>
      <c r="F679" s="1"/>
      <c r="G679" s="24"/>
    </row>
    <row r="680">
      <c r="A680" s="21"/>
      <c r="B680" s="21"/>
      <c r="C680" s="22"/>
      <c r="D680" s="1"/>
      <c r="E680" s="1"/>
      <c r="F680" s="1"/>
      <c r="G680" s="24"/>
    </row>
    <row r="681">
      <c r="A681" s="21"/>
      <c r="B681" s="21"/>
      <c r="C681" s="22"/>
      <c r="D681" s="1"/>
      <c r="E681" s="1"/>
      <c r="F681" s="1"/>
      <c r="G681" s="24"/>
    </row>
    <row r="682">
      <c r="A682" s="21"/>
      <c r="B682" s="21"/>
      <c r="C682" s="22"/>
      <c r="D682" s="1"/>
      <c r="E682" s="1"/>
      <c r="F682" s="1"/>
      <c r="G682" s="24"/>
    </row>
    <row r="683">
      <c r="A683" s="21"/>
      <c r="B683" s="21"/>
      <c r="C683" s="22"/>
      <c r="D683" s="1"/>
      <c r="E683" s="1"/>
      <c r="F683" s="1"/>
      <c r="G683" s="24"/>
    </row>
    <row r="684">
      <c r="A684" s="21"/>
      <c r="B684" s="21"/>
      <c r="C684" s="22"/>
      <c r="D684" s="1"/>
      <c r="E684" s="1"/>
      <c r="F684" s="1"/>
      <c r="G684" s="24"/>
    </row>
    <row r="685">
      <c r="A685" s="21"/>
      <c r="B685" s="21"/>
      <c r="C685" s="22"/>
      <c r="D685" s="1"/>
      <c r="E685" s="1"/>
      <c r="F685" s="1"/>
      <c r="G685" s="24"/>
    </row>
    <row r="686">
      <c r="A686" s="21"/>
      <c r="B686" s="21"/>
      <c r="C686" s="22"/>
      <c r="D686" s="1"/>
      <c r="E686" s="1"/>
      <c r="F686" s="1"/>
      <c r="G686" s="24"/>
    </row>
    <row r="687">
      <c r="A687" s="21"/>
      <c r="B687" s="21"/>
      <c r="C687" s="22"/>
      <c r="D687" s="1"/>
      <c r="E687" s="1"/>
      <c r="F687" s="1"/>
      <c r="G687" s="24"/>
    </row>
    <row r="688">
      <c r="A688" s="21"/>
      <c r="B688" s="21"/>
      <c r="C688" s="22"/>
      <c r="D688" s="1"/>
      <c r="E688" s="1"/>
      <c r="F688" s="1"/>
      <c r="G688" s="24"/>
    </row>
    <row r="689">
      <c r="A689" s="21"/>
      <c r="B689" s="21"/>
      <c r="C689" s="22"/>
      <c r="D689" s="1"/>
      <c r="E689" s="1"/>
      <c r="F689" s="1"/>
      <c r="G689" s="24"/>
    </row>
    <row r="690">
      <c r="A690" s="21"/>
      <c r="B690" s="21"/>
      <c r="C690" s="22"/>
      <c r="D690" s="1"/>
      <c r="E690" s="1"/>
      <c r="F690" s="1"/>
      <c r="G690" s="24"/>
    </row>
    <row r="691">
      <c r="A691" s="21"/>
      <c r="B691" s="21"/>
      <c r="C691" s="22"/>
      <c r="D691" s="1"/>
      <c r="E691" s="1"/>
      <c r="F691" s="1"/>
      <c r="G691" s="24"/>
    </row>
    <row r="692">
      <c r="A692" s="21"/>
      <c r="B692" s="21"/>
      <c r="C692" s="22"/>
      <c r="D692" s="1"/>
      <c r="E692" s="1"/>
      <c r="F692" s="1"/>
      <c r="G692" s="24"/>
    </row>
    <row r="693">
      <c r="A693" s="21"/>
      <c r="B693" s="21"/>
      <c r="C693" s="22"/>
      <c r="D693" s="1"/>
      <c r="E693" s="1"/>
      <c r="F693" s="1"/>
      <c r="G693" s="24"/>
    </row>
    <row r="694">
      <c r="A694" s="21"/>
      <c r="B694" s="21"/>
      <c r="C694" s="22"/>
      <c r="D694" s="1"/>
      <c r="E694" s="1"/>
      <c r="F694" s="1"/>
      <c r="G694" s="24"/>
    </row>
    <row r="695">
      <c r="A695" s="21"/>
      <c r="B695" s="21"/>
      <c r="C695" s="22"/>
      <c r="D695" s="1"/>
      <c r="E695" s="1"/>
      <c r="F695" s="1"/>
      <c r="G695" s="24"/>
    </row>
    <row r="696">
      <c r="A696" s="21"/>
      <c r="B696" s="21"/>
      <c r="C696" s="22"/>
      <c r="D696" s="1"/>
      <c r="E696" s="1"/>
      <c r="F696" s="1"/>
      <c r="G696" s="24"/>
    </row>
    <row r="697">
      <c r="A697" s="21"/>
      <c r="B697" s="21"/>
      <c r="C697" s="22"/>
      <c r="D697" s="1"/>
      <c r="E697" s="1"/>
      <c r="F697" s="1"/>
      <c r="G697" s="24"/>
    </row>
    <row r="698">
      <c r="A698" s="21"/>
      <c r="B698" s="21"/>
      <c r="C698" s="22"/>
      <c r="D698" s="1"/>
      <c r="E698" s="1"/>
      <c r="F698" s="1"/>
      <c r="G698" s="24"/>
    </row>
    <row r="699">
      <c r="A699" s="21"/>
      <c r="B699" s="21"/>
      <c r="C699" s="22"/>
      <c r="D699" s="1"/>
      <c r="E699" s="1"/>
      <c r="F699" s="1"/>
      <c r="G699" s="24"/>
    </row>
    <row r="700">
      <c r="A700" s="21"/>
      <c r="B700" s="21"/>
      <c r="C700" s="22"/>
      <c r="D700" s="1"/>
      <c r="E700" s="1"/>
      <c r="F700" s="1"/>
      <c r="G700" s="24"/>
    </row>
    <row r="701">
      <c r="A701" s="21"/>
      <c r="B701" s="21"/>
      <c r="C701" s="22"/>
      <c r="D701" s="1"/>
      <c r="E701" s="1"/>
      <c r="F701" s="1"/>
      <c r="G701" s="24"/>
    </row>
    <row r="702">
      <c r="A702" s="21"/>
      <c r="B702" s="21"/>
      <c r="C702" s="22"/>
      <c r="D702" s="1"/>
      <c r="E702" s="1"/>
      <c r="F702" s="1"/>
      <c r="G702" s="24"/>
    </row>
    <row r="703">
      <c r="A703" s="21"/>
      <c r="B703" s="21"/>
      <c r="C703" s="22"/>
      <c r="D703" s="1"/>
      <c r="E703" s="1"/>
      <c r="F703" s="1"/>
      <c r="G703" s="24"/>
    </row>
    <row r="704">
      <c r="A704" s="21"/>
      <c r="B704" s="21"/>
      <c r="C704" s="22"/>
      <c r="D704" s="1"/>
      <c r="E704" s="1"/>
      <c r="F704" s="1"/>
      <c r="G704" s="24"/>
    </row>
    <row r="705">
      <c r="A705" s="21"/>
      <c r="B705" s="21"/>
      <c r="C705" s="22"/>
      <c r="D705" s="1"/>
      <c r="E705" s="1"/>
      <c r="F705" s="1"/>
      <c r="G705" s="24"/>
    </row>
    <row r="706">
      <c r="A706" s="21"/>
      <c r="B706" s="21"/>
      <c r="C706" s="22"/>
      <c r="D706" s="1"/>
      <c r="E706" s="1"/>
      <c r="F706" s="1"/>
      <c r="G706" s="24"/>
    </row>
    <row r="707">
      <c r="A707" s="21"/>
      <c r="B707" s="21"/>
      <c r="C707" s="22"/>
      <c r="D707" s="1"/>
      <c r="E707" s="1"/>
      <c r="F707" s="1"/>
      <c r="G707" s="24"/>
    </row>
    <row r="708">
      <c r="A708" s="21"/>
      <c r="B708" s="21"/>
      <c r="C708" s="22"/>
      <c r="D708" s="1"/>
      <c r="E708" s="1"/>
      <c r="F708" s="1"/>
      <c r="G708" s="24"/>
    </row>
    <row r="709">
      <c r="A709" s="21"/>
      <c r="B709" s="21"/>
      <c r="C709" s="22"/>
      <c r="D709" s="1"/>
      <c r="E709" s="1"/>
      <c r="F709" s="1"/>
      <c r="G709" s="24"/>
    </row>
    <row r="710">
      <c r="A710" s="21"/>
      <c r="B710" s="21"/>
      <c r="C710" s="22"/>
      <c r="D710" s="1"/>
      <c r="E710" s="1"/>
      <c r="F710" s="1"/>
      <c r="G710" s="24"/>
    </row>
    <row r="711">
      <c r="A711" s="21"/>
      <c r="B711" s="21"/>
      <c r="C711" s="22"/>
      <c r="D711" s="1"/>
      <c r="E711" s="1"/>
      <c r="F711" s="1"/>
      <c r="G711" s="24"/>
    </row>
    <row r="712">
      <c r="A712" s="21"/>
      <c r="B712" s="21"/>
      <c r="C712" s="22"/>
      <c r="D712" s="1"/>
      <c r="E712" s="1"/>
      <c r="F712" s="1"/>
      <c r="G712" s="24"/>
    </row>
    <row r="713">
      <c r="A713" s="21"/>
      <c r="B713" s="21"/>
      <c r="C713" s="22"/>
      <c r="D713" s="1"/>
      <c r="E713" s="1"/>
      <c r="F713" s="1"/>
      <c r="G713" s="24"/>
    </row>
    <row r="714">
      <c r="A714" s="21"/>
      <c r="B714" s="21"/>
      <c r="C714" s="22"/>
      <c r="D714" s="1"/>
      <c r="E714" s="1"/>
      <c r="F714" s="1"/>
      <c r="G714" s="24"/>
    </row>
    <row r="715">
      <c r="A715" s="21"/>
      <c r="B715" s="21"/>
      <c r="C715" s="22"/>
      <c r="D715" s="1"/>
      <c r="E715" s="1"/>
      <c r="F715" s="1"/>
      <c r="G715" s="24"/>
    </row>
    <row r="716">
      <c r="A716" s="21"/>
      <c r="B716" s="21"/>
      <c r="C716" s="22"/>
      <c r="D716" s="1"/>
      <c r="E716" s="1"/>
      <c r="F716" s="1"/>
      <c r="G716" s="24"/>
    </row>
    <row r="717">
      <c r="A717" s="21"/>
      <c r="B717" s="21"/>
      <c r="C717" s="22"/>
      <c r="D717" s="1"/>
      <c r="E717" s="1"/>
      <c r="F717" s="1"/>
      <c r="G717" s="24"/>
    </row>
    <row r="718">
      <c r="A718" s="21"/>
      <c r="B718" s="21"/>
      <c r="C718" s="22"/>
      <c r="D718" s="1"/>
      <c r="E718" s="1"/>
      <c r="F718" s="1"/>
      <c r="G718" s="24"/>
    </row>
    <row r="719">
      <c r="A719" s="21"/>
      <c r="B719" s="21"/>
      <c r="C719" s="22"/>
      <c r="D719" s="1"/>
      <c r="E719" s="1"/>
      <c r="F719" s="1"/>
      <c r="G719" s="24"/>
    </row>
    <row r="720">
      <c r="A720" s="21"/>
      <c r="B720" s="21"/>
      <c r="C720" s="22"/>
      <c r="D720" s="1"/>
      <c r="E720" s="1"/>
      <c r="F720" s="1"/>
      <c r="G720" s="24"/>
    </row>
    <row r="721">
      <c r="A721" s="21"/>
      <c r="B721" s="21"/>
      <c r="C721" s="22"/>
      <c r="D721" s="1"/>
      <c r="E721" s="1"/>
      <c r="F721" s="1"/>
      <c r="G721" s="24"/>
    </row>
    <row r="722">
      <c r="A722" s="21"/>
      <c r="B722" s="21"/>
      <c r="C722" s="22"/>
      <c r="D722" s="1"/>
      <c r="E722" s="1"/>
      <c r="F722" s="1"/>
      <c r="G722" s="24"/>
    </row>
    <row r="723">
      <c r="A723" s="21"/>
      <c r="B723" s="21"/>
      <c r="C723" s="22"/>
      <c r="D723" s="1"/>
      <c r="E723" s="1"/>
      <c r="F723" s="1"/>
      <c r="G723" s="24"/>
    </row>
    <row r="724">
      <c r="A724" s="21"/>
      <c r="B724" s="21"/>
      <c r="C724" s="22"/>
      <c r="D724" s="1"/>
      <c r="E724" s="1"/>
      <c r="F724" s="1"/>
      <c r="G724" s="24"/>
    </row>
    <row r="725">
      <c r="A725" s="21"/>
      <c r="B725" s="21"/>
      <c r="C725" s="22"/>
      <c r="D725" s="1"/>
      <c r="E725" s="1"/>
      <c r="F725" s="1"/>
      <c r="G725" s="24"/>
    </row>
    <row r="726">
      <c r="A726" s="21"/>
      <c r="B726" s="21"/>
      <c r="C726" s="22"/>
      <c r="D726" s="1"/>
      <c r="E726" s="1"/>
      <c r="F726" s="1"/>
      <c r="G726" s="24"/>
    </row>
    <row r="727">
      <c r="A727" s="21"/>
      <c r="B727" s="21"/>
      <c r="C727" s="22"/>
      <c r="D727" s="1"/>
      <c r="E727" s="1"/>
      <c r="F727" s="1"/>
      <c r="G727" s="24"/>
    </row>
    <row r="728">
      <c r="A728" s="21"/>
      <c r="B728" s="21"/>
      <c r="C728" s="22"/>
      <c r="D728" s="1"/>
      <c r="E728" s="1"/>
      <c r="F728" s="1"/>
      <c r="G728" s="24"/>
    </row>
    <row r="729">
      <c r="A729" s="21"/>
      <c r="B729" s="21"/>
      <c r="C729" s="22"/>
      <c r="D729" s="1"/>
      <c r="E729" s="1"/>
      <c r="F729" s="1"/>
      <c r="G729" s="24"/>
    </row>
    <row r="730">
      <c r="A730" s="21"/>
      <c r="B730" s="21"/>
      <c r="C730" s="22"/>
      <c r="D730" s="1"/>
      <c r="E730" s="1"/>
      <c r="F730" s="1"/>
      <c r="G730" s="24"/>
    </row>
    <row r="731">
      <c r="A731" s="21"/>
      <c r="B731" s="21"/>
      <c r="C731" s="22"/>
      <c r="D731" s="1"/>
      <c r="E731" s="1"/>
      <c r="F731" s="1"/>
      <c r="G731" s="24"/>
    </row>
    <row r="732">
      <c r="A732" s="21"/>
      <c r="B732" s="21"/>
      <c r="C732" s="22"/>
      <c r="D732" s="1"/>
      <c r="E732" s="1"/>
      <c r="F732" s="1"/>
      <c r="G732" s="24"/>
    </row>
    <row r="733">
      <c r="A733" s="21"/>
      <c r="B733" s="21"/>
      <c r="C733" s="22"/>
      <c r="D733" s="1"/>
      <c r="E733" s="1"/>
      <c r="F733" s="1"/>
      <c r="G733" s="24"/>
    </row>
    <row r="734">
      <c r="A734" s="21"/>
      <c r="B734" s="21"/>
      <c r="C734" s="22"/>
      <c r="D734" s="1"/>
      <c r="E734" s="1"/>
      <c r="F734" s="1"/>
      <c r="G734" s="24"/>
    </row>
    <row r="735">
      <c r="A735" s="21"/>
      <c r="B735" s="21"/>
      <c r="C735" s="22"/>
      <c r="D735" s="1"/>
      <c r="E735" s="1"/>
      <c r="F735" s="1"/>
      <c r="G735" s="24"/>
    </row>
    <row r="736">
      <c r="A736" s="21"/>
      <c r="B736" s="21"/>
      <c r="C736" s="22"/>
      <c r="D736" s="1"/>
      <c r="E736" s="1"/>
      <c r="F736" s="1"/>
      <c r="G736" s="24"/>
    </row>
    <row r="737">
      <c r="A737" s="21"/>
      <c r="B737" s="21"/>
      <c r="C737" s="22"/>
      <c r="D737" s="1"/>
      <c r="E737" s="1"/>
      <c r="F737" s="1"/>
      <c r="G737" s="24"/>
    </row>
    <row r="738">
      <c r="A738" s="21"/>
      <c r="B738" s="21"/>
      <c r="C738" s="22"/>
      <c r="D738" s="1"/>
      <c r="E738" s="1"/>
      <c r="F738" s="1"/>
      <c r="G738" s="24"/>
    </row>
    <row r="739">
      <c r="A739" s="21"/>
      <c r="B739" s="21"/>
      <c r="C739" s="22"/>
      <c r="D739" s="1"/>
      <c r="E739" s="1"/>
      <c r="F739" s="1"/>
      <c r="G739" s="24"/>
    </row>
    <row r="740">
      <c r="A740" s="21"/>
      <c r="B740" s="21"/>
      <c r="C740" s="22"/>
      <c r="D740" s="1"/>
      <c r="E740" s="1"/>
      <c r="F740" s="1"/>
      <c r="G740" s="24"/>
    </row>
    <row r="741">
      <c r="A741" s="21"/>
      <c r="B741" s="21"/>
      <c r="C741" s="22"/>
      <c r="D741" s="1"/>
      <c r="E741" s="1"/>
      <c r="F741" s="1"/>
      <c r="G741" s="24"/>
    </row>
    <row r="742">
      <c r="A742" s="21"/>
      <c r="B742" s="21"/>
      <c r="C742" s="22"/>
      <c r="D742" s="1"/>
      <c r="E742" s="1"/>
      <c r="F742" s="1"/>
      <c r="G742" s="24"/>
    </row>
    <row r="743">
      <c r="A743" s="21"/>
      <c r="B743" s="21"/>
      <c r="C743" s="22"/>
      <c r="D743" s="1"/>
      <c r="E743" s="1"/>
      <c r="F743" s="1"/>
      <c r="G743" s="24"/>
    </row>
    <row r="744">
      <c r="A744" s="21"/>
      <c r="B744" s="21"/>
      <c r="C744" s="22"/>
      <c r="D744" s="1"/>
      <c r="E744" s="1"/>
      <c r="F744" s="1"/>
      <c r="G744" s="24"/>
    </row>
    <row r="745">
      <c r="A745" s="21"/>
      <c r="B745" s="21"/>
      <c r="C745" s="22"/>
      <c r="D745" s="1"/>
      <c r="E745" s="1"/>
      <c r="F745" s="1"/>
      <c r="G745" s="24"/>
    </row>
    <row r="746">
      <c r="A746" s="21"/>
      <c r="B746" s="21"/>
      <c r="C746" s="22"/>
      <c r="D746" s="1"/>
      <c r="E746" s="1"/>
      <c r="F746" s="1"/>
      <c r="G746" s="24"/>
    </row>
    <row r="747">
      <c r="A747" s="21"/>
      <c r="B747" s="21"/>
      <c r="C747" s="22"/>
      <c r="D747" s="1"/>
      <c r="E747" s="1"/>
      <c r="F747" s="1"/>
      <c r="G747" s="24"/>
    </row>
    <row r="748">
      <c r="A748" s="21"/>
      <c r="B748" s="21"/>
      <c r="C748" s="22"/>
      <c r="D748" s="1"/>
      <c r="E748" s="1"/>
      <c r="F748" s="1"/>
      <c r="G748" s="24"/>
    </row>
    <row r="749">
      <c r="A749" s="21"/>
      <c r="B749" s="21"/>
      <c r="C749" s="22"/>
      <c r="D749" s="1"/>
      <c r="E749" s="1"/>
      <c r="F749" s="1"/>
      <c r="G749" s="24"/>
    </row>
    <row r="750">
      <c r="A750" s="21"/>
      <c r="B750" s="21"/>
      <c r="C750" s="22"/>
      <c r="D750" s="1"/>
      <c r="E750" s="1"/>
      <c r="F750" s="1"/>
      <c r="G750" s="24"/>
    </row>
    <row r="751">
      <c r="A751" s="21"/>
      <c r="B751" s="21"/>
      <c r="C751" s="22"/>
      <c r="D751" s="1"/>
      <c r="E751" s="1"/>
      <c r="F751" s="1"/>
      <c r="G751" s="24"/>
    </row>
    <row r="752">
      <c r="A752" s="21"/>
      <c r="B752" s="21"/>
      <c r="C752" s="22"/>
      <c r="D752" s="1"/>
      <c r="E752" s="1"/>
      <c r="F752" s="1"/>
      <c r="G752" s="24"/>
    </row>
    <row r="753">
      <c r="A753" s="21"/>
      <c r="B753" s="21"/>
      <c r="C753" s="22"/>
      <c r="D753" s="1"/>
      <c r="E753" s="1"/>
      <c r="F753" s="1"/>
      <c r="G753" s="24"/>
    </row>
    <row r="754">
      <c r="A754" s="21"/>
      <c r="B754" s="21"/>
      <c r="C754" s="22"/>
      <c r="D754" s="1"/>
      <c r="E754" s="1"/>
      <c r="F754" s="1"/>
      <c r="G754" s="24"/>
    </row>
    <row r="755">
      <c r="A755" s="21"/>
      <c r="B755" s="21"/>
      <c r="C755" s="22"/>
      <c r="D755" s="1"/>
      <c r="E755" s="1"/>
      <c r="F755" s="1"/>
      <c r="G755" s="24"/>
    </row>
    <row r="756">
      <c r="A756" s="21"/>
      <c r="B756" s="21"/>
      <c r="C756" s="22"/>
      <c r="D756" s="1"/>
      <c r="E756" s="1"/>
      <c r="F756" s="1"/>
      <c r="G756" s="24"/>
    </row>
    <row r="757">
      <c r="A757" s="21"/>
      <c r="B757" s="21"/>
      <c r="C757" s="22"/>
      <c r="D757" s="1"/>
      <c r="E757" s="1"/>
      <c r="F757" s="1"/>
      <c r="G757" s="24"/>
    </row>
    <row r="758">
      <c r="A758" s="21"/>
      <c r="B758" s="21"/>
      <c r="C758" s="22"/>
      <c r="D758" s="1"/>
      <c r="E758" s="1"/>
      <c r="F758" s="1"/>
      <c r="G758" s="24"/>
    </row>
    <row r="759">
      <c r="A759" s="21"/>
      <c r="B759" s="21"/>
      <c r="C759" s="22"/>
      <c r="D759" s="1"/>
      <c r="E759" s="1"/>
      <c r="F759" s="1"/>
      <c r="G759" s="24"/>
    </row>
    <row r="760">
      <c r="A760" s="21"/>
      <c r="B760" s="21"/>
      <c r="C760" s="22"/>
      <c r="D760" s="1"/>
      <c r="E760" s="1"/>
      <c r="F760" s="1"/>
      <c r="G760" s="24"/>
    </row>
    <row r="761">
      <c r="A761" s="21"/>
      <c r="B761" s="21"/>
      <c r="C761" s="22"/>
      <c r="D761" s="1"/>
      <c r="E761" s="1"/>
      <c r="F761" s="1"/>
      <c r="G761" s="24"/>
    </row>
    <row r="762">
      <c r="A762" s="21"/>
      <c r="B762" s="21"/>
      <c r="C762" s="22"/>
      <c r="D762" s="1"/>
      <c r="E762" s="1"/>
      <c r="F762" s="1"/>
      <c r="G762" s="24"/>
    </row>
    <row r="763">
      <c r="A763" s="21"/>
      <c r="B763" s="21"/>
      <c r="C763" s="22"/>
      <c r="D763" s="1"/>
      <c r="E763" s="1"/>
      <c r="F763" s="1"/>
      <c r="G763" s="24"/>
    </row>
    <row r="764">
      <c r="A764" s="21"/>
      <c r="B764" s="21"/>
      <c r="C764" s="22"/>
      <c r="D764" s="1"/>
      <c r="E764" s="1"/>
      <c r="F764" s="1"/>
      <c r="G764" s="24"/>
    </row>
    <row r="765">
      <c r="A765" s="21"/>
      <c r="B765" s="21"/>
      <c r="C765" s="22"/>
      <c r="D765" s="1"/>
      <c r="E765" s="1"/>
      <c r="F765" s="1"/>
      <c r="G765" s="24"/>
    </row>
    <row r="766">
      <c r="A766" s="21"/>
      <c r="B766" s="21"/>
      <c r="C766" s="22"/>
      <c r="D766" s="1"/>
      <c r="E766" s="1"/>
      <c r="F766" s="1"/>
      <c r="G766" s="24"/>
    </row>
    <row r="767">
      <c r="A767" s="21"/>
      <c r="B767" s="21"/>
      <c r="C767" s="22"/>
      <c r="D767" s="1"/>
      <c r="E767" s="1"/>
      <c r="F767" s="1"/>
      <c r="G767" s="24"/>
    </row>
    <row r="768">
      <c r="A768" s="21"/>
      <c r="B768" s="21"/>
      <c r="C768" s="22"/>
      <c r="D768" s="1"/>
      <c r="E768" s="1"/>
      <c r="F768" s="1"/>
      <c r="G768" s="24"/>
    </row>
    <row r="769">
      <c r="A769" s="21"/>
      <c r="B769" s="21"/>
      <c r="C769" s="22"/>
      <c r="D769" s="1"/>
      <c r="E769" s="1"/>
      <c r="F769" s="1"/>
      <c r="G769" s="24"/>
    </row>
    <row r="770">
      <c r="A770" s="21"/>
      <c r="B770" s="21"/>
      <c r="C770" s="22"/>
      <c r="D770" s="1"/>
      <c r="E770" s="1"/>
      <c r="F770" s="1"/>
      <c r="G770" s="24"/>
    </row>
    <row r="771">
      <c r="A771" s="21"/>
      <c r="B771" s="21"/>
      <c r="C771" s="22"/>
      <c r="D771" s="1"/>
      <c r="E771" s="1"/>
      <c r="F771" s="1"/>
      <c r="G771" s="24"/>
    </row>
    <row r="772">
      <c r="A772" s="21"/>
      <c r="B772" s="21"/>
      <c r="C772" s="22"/>
      <c r="D772" s="1"/>
      <c r="E772" s="1"/>
      <c r="F772" s="1"/>
      <c r="G772" s="24"/>
    </row>
    <row r="773">
      <c r="A773" s="21"/>
      <c r="B773" s="21"/>
      <c r="C773" s="22"/>
      <c r="D773" s="1"/>
      <c r="E773" s="1"/>
      <c r="F773" s="1"/>
      <c r="G773" s="24"/>
    </row>
    <row r="774">
      <c r="A774" s="21"/>
      <c r="B774" s="21"/>
      <c r="C774" s="22"/>
      <c r="D774" s="1"/>
      <c r="E774" s="1"/>
      <c r="F774" s="1"/>
      <c r="G774" s="24"/>
    </row>
    <row r="775">
      <c r="A775" s="21"/>
      <c r="B775" s="21"/>
      <c r="C775" s="22"/>
      <c r="D775" s="1"/>
      <c r="E775" s="1"/>
      <c r="F775" s="1"/>
      <c r="G775" s="24"/>
    </row>
    <row r="776">
      <c r="A776" s="21"/>
      <c r="B776" s="21"/>
      <c r="C776" s="22"/>
      <c r="D776" s="1"/>
      <c r="E776" s="1"/>
      <c r="F776" s="1"/>
      <c r="G776" s="24"/>
    </row>
    <row r="777">
      <c r="A777" s="21"/>
      <c r="B777" s="21"/>
      <c r="C777" s="22"/>
      <c r="D777" s="1"/>
      <c r="E777" s="1"/>
      <c r="F777" s="1"/>
      <c r="G777" s="24"/>
    </row>
    <row r="778">
      <c r="A778" s="21"/>
      <c r="B778" s="21"/>
      <c r="C778" s="22"/>
      <c r="D778" s="1"/>
      <c r="E778" s="1"/>
      <c r="F778" s="1"/>
      <c r="G778" s="24"/>
    </row>
    <row r="779">
      <c r="A779" s="21"/>
      <c r="B779" s="21"/>
      <c r="C779" s="22"/>
      <c r="D779" s="1"/>
      <c r="E779" s="1"/>
      <c r="F779" s="1"/>
      <c r="G779" s="24"/>
    </row>
    <row r="780">
      <c r="A780" s="21"/>
      <c r="B780" s="21"/>
      <c r="C780" s="22"/>
      <c r="D780" s="1"/>
      <c r="E780" s="1"/>
      <c r="F780" s="1"/>
      <c r="G780" s="24"/>
    </row>
    <row r="781">
      <c r="A781" s="21"/>
      <c r="B781" s="21"/>
      <c r="C781" s="22"/>
      <c r="D781" s="1"/>
      <c r="E781" s="1"/>
      <c r="F781" s="1"/>
      <c r="G781" s="24"/>
    </row>
    <row r="782">
      <c r="A782" s="21"/>
      <c r="B782" s="21"/>
      <c r="C782" s="22"/>
      <c r="D782" s="1"/>
      <c r="E782" s="1"/>
      <c r="F782" s="1"/>
      <c r="G782" s="24"/>
    </row>
    <row r="783">
      <c r="A783" s="21"/>
      <c r="B783" s="21"/>
      <c r="C783" s="22"/>
      <c r="D783" s="1"/>
      <c r="E783" s="1"/>
      <c r="F783" s="1"/>
      <c r="G783" s="24"/>
    </row>
    <row r="784">
      <c r="A784" s="21"/>
      <c r="B784" s="21"/>
      <c r="C784" s="22"/>
      <c r="D784" s="1"/>
      <c r="E784" s="1"/>
      <c r="F784" s="1"/>
      <c r="G784" s="24"/>
    </row>
    <row r="785">
      <c r="A785" s="21"/>
      <c r="B785" s="21"/>
      <c r="C785" s="22"/>
      <c r="D785" s="1"/>
      <c r="E785" s="1"/>
      <c r="F785" s="1"/>
      <c r="G785" s="24"/>
    </row>
    <row r="786">
      <c r="A786" s="21"/>
      <c r="B786" s="21"/>
      <c r="C786" s="22"/>
      <c r="D786" s="1"/>
      <c r="E786" s="1"/>
      <c r="F786" s="1"/>
      <c r="G786" s="24"/>
    </row>
    <row r="787">
      <c r="A787" s="21"/>
      <c r="B787" s="21"/>
      <c r="C787" s="22"/>
      <c r="D787" s="1"/>
      <c r="E787" s="1"/>
      <c r="F787" s="1"/>
      <c r="G787" s="24"/>
    </row>
    <row r="788">
      <c r="A788" s="21"/>
      <c r="B788" s="21"/>
      <c r="C788" s="22"/>
      <c r="D788" s="1"/>
      <c r="E788" s="1"/>
      <c r="F788" s="1"/>
      <c r="G788" s="24"/>
    </row>
    <row r="789">
      <c r="A789" s="21"/>
      <c r="B789" s="21"/>
      <c r="C789" s="22"/>
      <c r="D789" s="1"/>
      <c r="E789" s="1"/>
      <c r="F789" s="1"/>
      <c r="G789" s="24"/>
    </row>
    <row r="790">
      <c r="A790" s="21"/>
      <c r="B790" s="21"/>
      <c r="C790" s="22"/>
      <c r="D790" s="1"/>
      <c r="E790" s="1"/>
      <c r="F790" s="1"/>
      <c r="G790" s="24"/>
    </row>
    <row r="791">
      <c r="A791" s="21"/>
      <c r="B791" s="21"/>
      <c r="C791" s="22"/>
      <c r="D791" s="1"/>
      <c r="E791" s="1"/>
      <c r="F791" s="1"/>
      <c r="G791" s="24"/>
    </row>
    <row r="792">
      <c r="A792" s="21"/>
      <c r="B792" s="21"/>
      <c r="C792" s="22"/>
      <c r="D792" s="1"/>
      <c r="E792" s="1"/>
      <c r="F792" s="1"/>
      <c r="G792" s="24"/>
    </row>
    <row r="793">
      <c r="A793" s="21"/>
      <c r="B793" s="21"/>
      <c r="C793" s="22"/>
      <c r="D793" s="1"/>
      <c r="E793" s="1"/>
      <c r="F793" s="1"/>
      <c r="G793" s="24"/>
    </row>
    <row r="794">
      <c r="A794" s="21"/>
      <c r="B794" s="21"/>
      <c r="C794" s="22"/>
      <c r="D794" s="1"/>
      <c r="E794" s="1"/>
      <c r="F794" s="1"/>
      <c r="G794" s="24"/>
    </row>
    <row r="795">
      <c r="A795" s="21"/>
      <c r="B795" s="21"/>
      <c r="C795" s="22"/>
      <c r="D795" s="1"/>
      <c r="E795" s="1"/>
      <c r="F795" s="1"/>
      <c r="G795" s="24"/>
    </row>
    <row r="796">
      <c r="A796" s="21"/>
      <c r="B796" s="21"/>
      <c r="C796" s="22"/>
      <c r="D796" s="1"/>
      <c r="E796" s="1"/>
      <c r="F796" s="1"/>
      <c r="G796" s="24"/>
    </row>
    <row r="797">
      <c r="A797" s="21"/>
      <c r="B797" s="21"/>
      <c r="C797" s="22"/>
      <c r="D797" s="1"/>
      <c r="E797" s="1"/>
      <c r="F797" s="1"/>
      <c r="G797" s="24"/>
    </row>
    <row r="798">
      <c r="A798" s="21"/>
      <c r="B798" s="21"/>
      <c r="C798" s="22"/>
      <c r="D798" s="1"/>
      <c r="E798" s="1"/>
      <c r="F798" s="1"/>
      <c r="G798" s="24"/>
    </row>
    <row r="799">
      <c r="A799" s="21"/>
      <c r="B799" s="21"/>
      <c r="C799" s="22"/>
      <c r="D799" s="1"/>
      <c r="E799" s="1"/>
      <c r="F799" s="1"/>
      <c r="G799" s="24"/>
    </row>
    <row r="800">
      <c r="A800" s="21"/>
      <c r="B800" s="21"/>
      <c r="C800" s="22"/>
      <c r="D800" s="1"/>
      <c r="E800" s="1"/>
      <c r="F800" s="1"/>
      <c r="G800" s="24"/>
    </row>
    <row r="801">
      <c r="A801" s="21"/>
      <c r="B801" s="21"/>
      <c r="C801" s="22"/>
      <c r="D801" s="1"/>
      <c r="E801" s="1"/>
      <c r="F801" s="1"/>
      <c r="G801" s="24"/>
    </row>
    <row r="802">
      <c r="A802" s="21"/>
      <c r="B802" s="21"/>
      <c r="C802" s="22"/>
      <c r="D802" s="1"/>
      <c r="E802" s="1"/>
      <c r="F802" s="1"/>
      <c r="G802" s="24"/>
    </row>
    <row r="803">
      <c r="A803" s="21"/>
      <c r="B803" s="21"/>
      <c r="C803" s="22"/>
      <c r="D803" s="1"/>
      <c r="E803" s="1"/>
      <c r="F803" s="1"/>
      <c r="G803" s="24"/>
    </row>
    <row r="804">
      <c r="A804" s="21"/>
      <c r="B804" s="21"/>
      <c r="C804" s="22"/>
      <c r="D804" s="1"/>
      <c r="E804" s="1"/>
      <c r="F804" s="1"/>
      <c r="G804" s="24"/>
    </row>
    <row r="805">
      <c r="A805" s="21"/>
      <c r="B805" s="21"/>
      <c r="C805" s="22"/>
      <c r="D805" s="1"/>
      <c r="E805" s="1"/>
      <c r="F805" s="1"/>
      <c r="G805" s="24"/>
    </row>
    <row r="806">
      <c r="A806" s="21"/>
      <c r="B806" s="21"/>
      <c r="C806" s="22"/>
      <c r="D806" s="1"/>
      <c r="E806" s="1"/>
      <c r="F806" s="1"/>
      <c r="G806" s="24"/>
    </row>
    <row r="807">
      <c r="A807" s="21"/>
      <c r="B807" s="21"/>
      <c r="C807" s="22"/>
      <c r="D807" s="1"/>
      <c r="E807" s="1"/>
      <c r="F807" s="1"/>
      <c r="G807" s="24"/>
    </row>
    <row r="808">
      <c r="A808" s="21"/>
      <c r="B808" s="21"/>
      <c r="C808" s="22"/>
      <c r="D808" s="1"/>
      <c r="E808" s="1"/>
      <c r="F808" s="1"/>
      <c r="G808" s="24"/>
    </row>
    <row r="809">
      <c r="A809" s="21"/>
      <c r="B809" s="21"/>
      <c r="C809" s="22"/>
      <c r="D809" s="1"/>
      <c r="E809" s="1"/>
      <c r="F809" s="1"/>
      <c r="G809" s="24"/>
    </row>
    <row r="810">
      <c r="A810" s="21"/>
      <c r="B810" s="21"/>
      <c r="C810" s="22"/>
      <c r="D810" s="1"/>
      <c r="E810" s="1"/>
      <c r="F810" s="1"/>
      <c r="G810" s="24"/>
    </row>
    <row r="811">
      <c r="A811" s="21"/>
      <c r="B811" s="21"/>
      <c r="C811" s="22"/>
      <c r="D811" s="1"/>
      <c r="E811" s="1"/>
      <c r="F811" s="1"/>
      <c r="G811" s="24"/>
    </row>
    <row r="812">
      <c r="A812" s="21"/>
      <c r="B812" s="21"/>
      <c r="C812" s="22"/>
      <c r="D812" s="1"/>
      <c r="E812" s="1"/>
      <c r="F812" s="1"/>
      <c r="G812" s="24"/>
    </row>
    <row r="813">
      <c r="A813" s="21"/>
      <c r="B813" s="21"/>
      <c r="C813" s="22"/>
      <c r="D813" s="1"/>
      <c r="E813" s="1"/>
      <c r="F813" s="1"/>
      <c r="G813" s="24"/>
    </row>
    <row r="814">
      <c r="A814" s="21"/>
      <c r="B814" s="21"/>
      <c r="C814" s="22"/>
      <c r="D814" s="1"/>
      <c r="E814" s="1"/>
      <c r="F814" s="1"/>
      <c r="G814" s="24"/>
    </row>
    <row r="815">
      <c r="A815" s="21"/>
      <c r="B815" s="21"/>
      <c r="C815" s="22"/>
      <c r="D815" s="1"/>
      <c r="E815" s="1"/>
      <c r="F815" s="1"/>
      <c r="G815" s="24"/>
    </row>
    <row r="816">
      <c r="A816" s="21"/>
      <c r="B816" s="21"/>
      <c r="C816" s="22"/>
      <c r="D816" s="1"/>
      <c r="E816" s="1"/>
      <c r="F816" s="1"/>
      <c r="G816" s="24"/>
    </row>
    <row r="817">
      <c r="A817" s="21"/>
      <c r="B817" s="21"/>
      <c r="C817" s="22"/>
      <c r="D817" s="1"/>
      <c r="E817" s="1"/>
      <c r="F817" s="1"/>
      <c r="G817" s="24"/>
    </row>
    <row r="818">
      <c r="A818" s="21"/>
      <c r="B818" s="21"/>
      <c r="C818" s="22"/>
      <c r="D818" s="1"/>
      <c r="E818" s="1"/>
      <c r="F818" s="1"/>
      <c r="G818" s="24"/>
    </row>
    <row r="819">
      <c r="A819" s="21"/>
      <c r="B819" s="21"/>
      <c r="C819" s="22"/>
      <c r="D819" s="1"/>
      <c r="E819" s="1"/>
      <c r="F819" s="1"/>
      <c r="G819" s="24"/>
    </row>
    <row r="820">
      <c r="A820" s="21"/>
      <c r="B820" s="21"/>
      <c r="C820" s="22"/>
      <c r="D820" s="1"/>
      <c r="E820" s="1"/>
      <c r="F820" s="1"/>
      <c r="G820" s="24"/>
    </row>
    <row r="821">
      <c r="A821" s="21"/>
      <c r="B821" s="21"/>
      <c r="C821" s="22"/>
      <c r="D821" s="1"/>
      <c r="E821" s="1"/>
      <c r="F821" s="1"/>
      <c r="G821" s="24"/>
    </row>
    <row r="822">
      <c r="A822" s="21"/>
      <c r="B822" s="21"/>
      <c r="C822" s="22"/>
      <c r="D822" s="1"/>
      <c r="E822" s="1"/>
      <c r="F822" s="1"/>
      <c r="G822" s="24"/>
    </row>
    <row r="823">
      <c r="A823" s="21"/>
      <c r="B823" s="21"/>
      <c r="C823" s="22"/>
      <c r="D823" s="1"/>
      <c r="E823" s="1"/>
      <c r="F823" s="1"/>
      <c r="G823" s="24"/>
    </row>
    <row r="824">
      <c r="A824" s="21"/>
      <c r="B824" s="21"/>
      <c r="C824" s="22"/>
      <c r="D824" s="1"/>
      <c r="E824" s="1"/>
      <c r="F824" s="1"/>
      <c r="G824" s="24"/>
    </row>
    <row r="825">
      <c r="A825" s="21"/>
      <c r="B825" s="21"/>
      <c r="C825" s="22"/>
      <c r="D825" s="1"/>
      <c r="E825" s="1"/>
      <c r="F825" s="1"/>
      <c r="G825" s="24"/>
    </row>
    <row r="826">
      <c r="A826" s="21"/>
      <c r="B826" s="21"/>
      <c r="C826" s="22"/>
      <c r="D826" s="1"/>
      <c r="E826" s="1"/>
      <c r="F826" s="1"/>
      <c r="G826" s="24"/>
    </row>
    <row r="827">
      <c r="A827" s="21"/>
      <c r="B827" s="21"/>
      <c r="C827" s="22"/>
      <c r="D827" s="1"/>
      <c r="E827" s="1"/>
      <c r="F827" s="1"/>
      <c r="G827" s="24"/>
    </row>
    <row r="828">
      <c r="A828" s="21"/>
      <c r="B828" s="21"/>
      <c r="C828" s="22"/>
      <c r="D828" s="1"/>
      <c r="E828" s="1"/>
      <c r="F828" s="1"/>
      <c r="G828" s="24"/>
    </row>
    <row r="829">
      <c r="A829" s="21"/>
      <c r="B829" s="21"/>
      <c r="C829" s="22"/>
      <c r="D829" s="1"/>
      <c r="E829" s="1"/>
      <c r="F829" s="1"/>
      <c r="G829" s="24"/>
    </row>
    <row r="830">
      <c r="A830" s="21"/>
      <c r="B830" s="21"/>
      <c r="C830" s="22"/>
      <c r="D830" s="1"/>
      <c r="E830" s="1"/>
      <c r="F830" s="1"/>
      <c r="G830" s="24"/>
    </row>
    <row r="831">
      <c r="A831" s="21"/>
      <c r="B831" s="21"/>
      <c r="C831" s="22"/>
      <c r="D831" s="1"/>
      <c r="E831" s="1"/>
      <c r="F831" s="1"/>
      <c r="G831" s="24"/>
    </row>
    <row r="832">
      <c r="A832" s="21"/>
      <c r="B832" s="21"/>
      <c r="C832" s="22"/>
      <c r="D832" s="1"/>
      <c r="E832" s="1"/>
      <c r="F832" s="1"/>
      <c r="G832" s="24"/>
    </row>
    <row r="833">
      <c r="A833" s="21"/>
      <c r="B833" s="21"/>
      <c r="C833" s="22"/>
      <c r="D833" s="1"/>
      <c r="E833" s="1"/>
      <c r="F833" s="1"/>
      <c r="G833" s="24"/>
    </row>
    <row r="834">
      <c r="A834" s="21"/>
      <c r="B834" s="21"/>
      <c r="C834" s="22"/>
      <c r="D834" s="1"/>
      <c r="E834" s="1"/>
      <c r="F834" s="1"/>
      <c r="G834" s="24"/>
    </row>
    <row r="835">
      <c r="A835" s="21"/>
      <c r="B835" s="21"/>
      <c r="C835" s="22"/>
      <c r="D835" s="1"/>
      <c r="E835" s="1"/>
      <c r="F835" s="1"/>
      <c r="G835" s="24"/>
    </row>
    <row r="836">
      <c r="A836" s="21"/>
      <c r="B836" s="21"/>
      <c r="C836" s="22"/>
      <c r="D836" s="1"/>
      <c r="E836" s="1"/>
      <c r="F836" s="1"/>
      <c r="G836" s="24"/>
    </row>
    <row r="837">
      <c r="A837" s="21"/>
      <c r="B837" s="21"/>
      <c r="C837" s="22"/>
      <c r="D837" s="1"/>
      <c r="E837" s="1"/>
      <c r="F837" s="1"/>
      <c r="G837" s="24"/>
    </row>
    <row r="838">
      <c r="A838" s="21"/>
      <c r="B838" s="21"/>
      <c r="C838" s="22"/>
      <c r="D838" s="1"/>
      <c r="E838" s="1"/>
      <c r="F838" s="1"/>
      <c r="G838" s="24"/>
    </row>
    <row r="839">
      <c r="A839" s="21"/>
      <c r="B839" s="21"/>
      <c r="C839" s="22"/>
      <c r="D839" s="1"/>
      <c r="E839" s="1"/>
      <c r="F839" s="1"/>
      <c r="G839" s="24"/>
    </row>
    <row r="840">
      <c r="A840" s="21"/>
      <c r="B840" s="21"/>
      <c r="C840" s="22"/>
      <c r="D840" s="1"/>
      <c r="E840" s="1"/>
      <c r="F840" s="1"/>
      <c r="G840" s="24"/>
    </row>
    <row r="841">
      <c r="A841" s="21"/>
      <c r="B841" s="21"/>
      <c r="C841" s="22"/>
      <c r="D841" s="1"/>
      <c r="E841" s="1"/>
      <c r="F841" s="1"/>
      <c r="G841" s="24"/>
    </row>
    <row r="842">
      <c r="A842" s="21"/>
      <c r="B842" s="21"/>
      <c r="C842" s="22"/>
      <c r="D842" s="1"/>
      <c r="E842" s="1"/>
      <c r="F842" s="1"/>
      <c r="G842" s="24"/>
    </row>
    <row r="843">
      <c r="A843" s="21"/>
      <c r="B843" s="21"/>
      <c r="C843" s="22"/>
      <c r="D843" s="1"/>
      <c r="E843" s="1"/>
      <c r="F843" s="1"/>
      <c r="G843" s="24"/>
    </row>
    <row r="844">
      <c r="A844" s="21"/>
      <c r="B844" s="21"/>
      <c r="C844" s="22"/>
      <c r="D844" s="1"/>
      <c r="E844" s="1"/>
      <c r="F844" s="1"/>
      <c r="G844" s="24"/>
    </row>
    <row r="845">
      <c r="A845" s="21"/>
      <c r="B845" s="21"/>
      <c r="C845" s="22"/>
      <c r="D845" s="1"/>
      <c r="E845" s="1"/>
      <c r="F845" s="1"/>
      <c r="G845" s="24"/>
    </row>
    <row r="846">
      <c r="A846" s="21"/>
      <c r="B846" s="21"/>
      <c r="C846" s="22"/>
      <c r="D846" s="1"/>
      <c r="E846" s="1"/>
      <c r="F846" s="1"/>
      <c r="G846" s="24"/>
    </row>
    <row r="847">
      <c r="A847" s="21"/>
      <c r="B847" s="21"/>
      <c r="C847" s="22"/>
      <c r="D847" s="1"/>
      <c r="E847" s="1"/>
      <c r="F847" s="1"/>
      <c r="G847" s="24"/>
    </row>
    <row r="848">
      <c r="A848" s="21"/>
      <c r="B848" s="21"/>
      <c r="C848" s="22"/>
      <c r="D848" s="1"/>
      <c r="E848" s="1"/>
      <c r="F848" s="1"/>
      <c r="G848" s="24"/>
    </row>
    <row r="849">
      <c r="A849" s="21"/>
      <c r="B849" s="21"/>
      <c r="C849" s="22"/>
      <c r="D849" s="1"/>
      <c r="E849" s="1"/>
      <c r="F849" s="1"/>
      <c r="G849" s="24"/>
    </row>
    <row r="850">
      <c r="A850" s="21"/>
      <c r="B850" s="21"/>
      <c r="C850" s="22"/>
      <c r="D850" s="1"/>
      <c r="E850" s="1"/>
      <c r="F850" s="1"/>
      <c r="G850" s="24"/>
    </row>
    <row r="851">
      <c r="A851" s="21"/>
      <c r="B851" s="21"/>
      <c r="C851" s="22"/>
      <c r="D851" s="1"/>
      <c r="E851" s="1"/>
      <c r="F851" s="1"/>
      <c r="G851" s="24"/>
    </row>
    <row r="852">
      <c r="A852" s="21"/>
      <c r="B852" s="21"/>
      <c r="C852" s="22"/>
      <c r="D852" s="1"/>
      <c r="E852" s="1"/>
      <c r="F852" s="1"/>
      <c r="G852" s="24"/>
    </row>
    <row r="853">
      <c r="A853" s="21"/>
      <c r="B853" s="21"/>
      <c r="C853" s="22"/>
      <c r="D853" s="1"/>
      <c r="E853" s="1"/>
      <c r="F853" s="1"/>
      <c r="G853" s="24"/>
    </row>
    <row r="854">
      <c r="A854" s="21"/>
      <c r="B854" s="21"/>
      <c r="C854" s="22"/>
      <c r="D854" s="1"/>
      <c r="E854" s="1"/>
      <c r="F854" s="1"/>
      <c r="G854" s="24"/>
    </row>
    <row r="855">
      <c r="A855" s="21"/>
      <c r="B855" s="21"/>
      <c r="C855" s="22"/>
      <c r="D855" s="1"/>
      <c r="E855" s="1"/>
      <c r="F855" s="1"/>
      <c r="G855" s="24"/>
    </row>
    <row r="856">
      <c r="A856" s="21"/>
      <c r="B856" s="21"/>
      <c r="C856" s="22"/>
      <c r="D856" s="1"/>
      <c r="E856" s="1"/>
      <c r="F856" s="1"/>
      <c r="G856" s="24"/>
    </row>
    <row r="857">
      <c r="A857" s="21"/>
      <c r="B857" s="21"/>
      <c r="C857" s="22"/>
      <c r="D857" s="1"/>
      <c r="E857" s="1"/>
      <c r="F857" s="1"/>
      <c r="G857" s="24"/>
    </row>
    <row r="858">
      <c r="A858" s="21"/>
      <c r="B858" s="21"/>
      <c r="C858" s="22"/>
      <c r="D858" s="1"/>
      <c r="E858" s="1"/>
      <c r="F858" s="1"/>
      <c r="G858" s="24"/>
    </row>
    <row r="859">
      <c r="A859" s="21"/>
      <c r="B859" s="21"/>
      <c r="C859" s="22"/>
      <c r="D859" s="1"/>
      <c r="E859" s="1"/>
      <c r="F859" s="1"/>
      <c r="G859" s="24"/>
    </row>
    <row r="860">
      <c r="A860" s="21"/>
      <c r="B860" s="21"/>
      <c r="C860" s="22"/>
      <c r="D860" s="1"/>
      <c r="E860" s="1"/>
      <c r="F860" s="1"/>
      <c r="G860" s="24"/>
    </row>
    <row r="861">
      <c r="A861" s="21"/>
      <c r="B861" s="21"/>
      <c r="C861" s="22"/>
      <c r="D861" s="1"/>
      <c r="E861" s="1"/>
      <c r="F861" s="1"/>
      <c r="G861" s="24"/>
    </row>
    <row r="862">
      <c r="A862" s="21"/>
      <c r="B862" s="21"/>
      <c r="C862" s="22"/>
      <c r="D862" s="1"/>
      <c r="E862" s="1"/>
      <c r="F862" s="1"/>
      <c r="G862" s="24"/>
    </row>
    <row r="863">
      <c r="A863" s="21"/>
      <c r="B863" s="21"/>
      <c r="C863" s="22"/>
      <c r="D863" s="1"/>
      <c r="E863" s="1"/>
      <c r="F863" s="1"/>
      <c r="G863" s="24"/>
    </row>
    <row r="864">
      <c r="A864" s="21"/>
      <c r="B864" s="21"/>
      <c r="C864" s="22"/>
      <c r="D864" s="1"/>
      <c r="E864" s="1"/>
      <c r="F864" s="1"/>
      <c r="G864" s="24"/>
    </row>
    <row r="865">
      <c r="A865" s="21"/>
      <c r="B865" s="21"/>
      <c r="C865" s="22"/>
      <c r="D865" s="1"/>
      <c r="E865" s="1"/>
      <c r="F865" s="1"/>
      <c r="G865" s="24"/>
    </row>
    <row r="866">
      <c r="A866" s="21"/>
      <c r="B866" s="21"/>
      <c r="C866" s="22"/>
      <c r="D866" s="1"/>
      <c r="E866" s="1"/>
      <c r="F866" s="1"/>
      <c r="G866" s="24"/>
    </row>
    <row r="867">
      <c r="A867" s="21"/>
      <c r="B867" s="21"/>
      <c r="C867" s="22"/>
      <c r="D867" s="1"/>
      <c r="E867" s="1"/>
      <c r="F867" s="1"/>
      <c r="G867" s="24"/>
    </row>
    <row r="868">
      <c r="A868" s="21"/>
      <c r="B868" s="21"/>
      <c r="C868" s="22"/>
      <c r="D868" s="1"/>
      <c r="E868" s="1"/>
      <c r="F868" s="1"/>
      <c r="G868" s="24"/>
    </row>
    <row r="869">
      <c r="A869" s="21"/>
      <c r="B869" s="21"/>
      <c r="C869" s="22"/>
      <c r="D869" s="1"/>
      <c r="E869" s="1"/>
      <c r="F869" s="1"/>
      <c r="G869" s="24"/>
    </row>
    <row r="870">
      <c r="A870" s="21"/>
      <c r="B870" s="21"/>
      <c r="C870" s="22"/>
      <c r="D870" s="1"/>
      <c r="E870" s="1"/>
      <c r="F870" s="1"/>
      <c r="G870" s="24"/>
    </row>
    <row r="871">
      <c r="A871" s="21"/>
      <c r="B871" s="21"/>
      <c r="C871" s="22"/>
      <c r="D871" s="1"/>
      <c r="E871" s="1"/>
      <c r="F871" s="1"/>
      <c r="G871" s="24"/>
    </row>
    <row r="872">
      <c r="A872" s="21"/>
      <c r="B872" s="21"/>
      <c r="C872" s="22"/>
      <c r="D872" s="1"/>
      <c r="E872" s="1"/>
      <c r="F872" s="1"/>
      <c r="G872" s="24"/>
    </row>
    <row r="873">
      <c r="A873" s="21"/>
      <c r="B873" s="21"/>
      <c r="C873" s="22"/>
      <c r="D873" s="1"/>
      <c r="E873" s="1"/>
      <c r="F873" s="1"/>
      <c r="G873" s="24"/>
    </row>
    <row r="874">
      <c r="A874" s="21"/>
      <c r="B874" s="21"/>
      <c r="C874" s="22"/>
      <c r="D874" s="1"/>
      <c r="E874" s="1"/>
      <c r="F874" s="1"/>
      <c r="G874" s="24"/>
    </row>
    <row r="875">
      <c r="A875" s="21"/>
      <c r="B875" s="21"/>
      <c r="C875" s="22"/>
      <c r="D875" s="1"/>
      <c r="E875" s="1"/>
      <c r="F875" s="1"/>
      <c r="G875" s="24"/>
    </row>
    <row r="876">
      <c r="A876" s="21"/>
      <c r="B876" s="21"/>
      <c r="C876" s="22"/>
      <c r="D876" s="1"/>
      <c r="E876" s="1"/>
      <c r="F876" s="1"/>
      <c r="G876" s="24"/>
    </row>
    <row r="877">
      <c r="A877" s="21"/>
      <c r="B877" s="21"/>
      <c r="C877" s="22"/>
      <c r="D877" s="1"/>
      <c r="E877" s="1"/>
      <c r="F877" s="1"/>
      <c r="G877" s="24"/>
    </row>
    <row r="878">
      <c r="A878" s="21"/>
      <c r="B878" s="21"/>
      <c r="C878" s="22"/>
      <c r="D878" s="1"/>
      <c r="E878" s="1"/>
      <c r="F878" s="1"/>
      <c r="G878" s="24"/>
    </row>
    <row r="879">
      <c r="A879" s="21"/>
      <c r="B879" s="21"/>
      <c r="C879" s="22"/>
      <c r="D879" s="1"/>
      <c r="E879" s="1"/>
      <c r="F879" s="1"/>
      <c r="G879" s="24"/>
    </row>
    <row r="880">
      <c r="A880" s="21"/>
      <c r="B880" s="21"/>
      <c r="C880" s="22"/>
      <c r="D880" s="1"/>
      <c r="E880" s="1"/>
      <c r="F880" s="1"/>
      <c r="G880" s="24"/>
    </row>
    <row r="881">
      <c r="A881" s="21"/>
      <c r="B881" s="21"/>
      <c r="C881" s="22"/>
      <c r="D881" s="1"/>
      <c r="E881" s="1"/>
      <c r="F881" s="1"/>
      <c r="G881" s="24"/>
    </row>
    <row r="882">
      <c r="A882" s="21"/>
      <c r="B882" s="21"/>
      <c r="C882" s="22"/>
      <c r="D882" s="1"/>
      <c r="E882" s="1"/>
      <c r="F882" s="1"/>
      <c r="G882" s="24"/>
    </row>
    <row r="883">
      <c r="A883" s="21"/>
      <c r="B883" s="21"/>
      <c r="C883" s="22"/>
      <c r="D883" s="1"/>
      <c r="E883" s="1"/>
      <c r="F883" s="1"/>
      <c r="G883" s="24"/>
    </row>
    <row r="884">
      <c r="A884" s="21"/>
      <c r="B884" s="21"/>
      <c r="C884" s="22"/>
      <c r="D884" s="1"/>
      <c r="E884" s="1"/>
      <c r="F884" s="1"/>
      <c r="G884" s="24"/>
    </row>
    <row r="885">
      <c r="A885" s="21"/>
      <c r="B885" s="21"/>
      <c r="C885" s="22"/>
      <c r="D885" s="1"/>
      <c r="E885" s="1"/>
      <c r="F885" s="1"/>
      <c r="G885" s="24"/>
    </row>
    <row r="886">
      <c r="A886" s="21"/>
      <c r="B886" s="21"/>
      <c r="C886" s="22"/>
      <c r="D886" s="1"/>
      <c r="E886" s="1"/>
      <c r="F886" s="1"/>
      <c r="G886" s="24"/>
    </row>
    <row r="887">
      <c r="A887" s="21"/>
      <c r="B887" s="21"/>
      <c r="C887" s="22"/>
      <c r="D887" s="1"/>
      <c r="E887" s="1"/>
      <c r="F887" s="1"/>
      <c r="G887" s="24"/>
    </row>
    <row r="888">
      <c r="A888" s="21"/>
      <c r="B888" s="21"/>
      <c r="C888" s="22"/>
      <c r="D888" s="1"/>
      <c r="E888" s="1"/>
      <c r="F888" s="1"/>
      <c r="G888" s="24"/>
    </row>
    <row r="889">
      <c r="A889" s="21"/>
      <c r="B889" s="21"/>
      <c r="C889" s="22"/>
      <c r="D889" s="1"/>
      <c r="E889" s="1"/>
      <c r="F889" s="1"/>
      <c r="G889" s="24"/>
    </row>
    <row r="890">
      <c r="A890" s="21"/>
      <c r="B890" s="21"/>
      <c r="C890" s="22"/>
      <c r="D890" s="1"/>
      <c r="E890" s="1"/>
      <c r="F890" s="1"/>
      <c r="G890" s="24"/>
    </row>
    <row r="891">
      <c r="A891" s="21"/>
      <c r="B891" s="21"/>
      <c r="C891" s="22"/>
      <c r="D891" s="1"/>
      <c r="E891" s="1"/>
      <c r="F891" s="1"/>
      <c r="G891" s="24"/>
    </row>
    <row r="892">
      <c r="A892" s="21"/>
      <c r="B892" s="21"/>
      <c r="C892" s="22"/>
      <c r="D892" s="1"/>
      <c r="E892" s="1"/>
      <c r="F892" s="1"/>
      <c r="G892" s="24"/>
    </row>
    <row r="893">
      <c r="A893" s="21"/>
      <c r="B893" s="21"/>
      <c r="C893" s="22"/>
      <c r="D893" s="1"/>
      <c r="E893" s="1"/>
      <c r="F893" s="1"/>
      <c r="G893" s="24"/>
    </row>
    <row r="894">
      <c r="A894" s="21"/>
      <c r="B894" s="21"/>
      <c r="C894" s="22"/>
      <c r="D894" s="1"/>
      <c r="E894" s="1"/>
      <c r="F894" s="1"/>
      <c r="G894" s="24"/>
    </row>
    <row r="895">
      <c r="A895" s="21"/>
      <c r="B895" s="21"/>
      <c r="C895" s="22"/>
      <c r="D895" s="1"/>
      <c r="E895" s="1"/>
      <c r="F895" s="1"/>
      <c r="G895" s="24"/>
    </row>
    <row r="896">
      <c r="A896" s="21"/>
      <c r="B896" s="21"/>
      <c r="C896" s="22"/>
      <c r="D896" s="1"/>
      <c r="E896" s="1"/>
      <c r="F896" s="1"/>
      <c r="G896" s="24"/>
    </row>
    <row r="897">
      <c r="A897" s="21"/>
      <c r="B897" s="21"/>
      <c r="C897" s="22"/>
      <c r="D897" s="1"/>
      <c r="E897" s="1"/>
      <c r="F897" s="1"/>
      <c r="G897" s="24"/>
    </row>
    <row r="898">
      <c r="A898" s="21"/>
      <c r="B898" s="21"/>
      <c r="C898" s="22"/>
      <c r="D898" s="1"/>
      <c r="E898" s="1"/>
      <c r="F898" s="1"/>
      <c r="G898" s="24"/>
    </row>
    <row r="899">
      <c r="A899" s="21"/>
      <c r="B899" s="21"/>
      <c r="C899" s="22"/>
      <c r="D899" s="1"/>
      <c r="E899" s="1"/>
      <c r="F899" s="1"/>
      <c r="G899" s="24"/>
    </row>
    <row r="900">
      <c r="A900" s="21"/>
      <c r="B900" s="21"/>
      <c r="C900" s="22"/>
      <c r="D900" s="1"/>
      <c r="E900" s="1"/>
      <c r="F900" s="1"/>
      <c r="G900" s="24"/>
    </row>
    <row r="901">
      <c r="A901" s="21"/>
      <c r="B901" s="21"/>
      <c r="C901" s="22"/>
      <c r="D901" s="1"/>
      <c r="E901" s="1"/>
      <c r="F901" s="1"/>
      <c r="G901" s="24"/>
    </row>
    <row r="902">
      <c r="A902" s="21"/>
      <c r="B902" s="21"/>
      <c r="C902" s="22"/>
      <c r="D902" s="1"/>
      <c r="E902" s="1"/>
      <c r="F902" s="1"/>
      <c r="G902" s="24"/>
    </row>
    <row r="903">
      <c r="A903" s="21"/>
      <c r="B903" s="21"/>
      <c r="C903" s="22"/>
      <c r="D903" s="1"/>
      <c r="E903" s="1"/>
      <c r="F903" s="1"/>
      <c r="G903" s="24"/>
    </row>
    <row r="904">
      <c r="A904" s="21"/>
      <c r="B904" s="21"/>
      <c r="C904" s="22"/>
      <c r="D904" s="1"/>
      <c r="E904" s="1"/>
      <c r="F904" s="1"/>
      <c r="G904" s="24"/>
    </row>
    <row r="905">
      <c r="A905" s="21"/>
      <c r="B905" s="21"/>
      <c r="C905" s="22"/>
      <c r="D905" s="1"/>
      <c r="E905" s="1"/>
      <c r="F905" s="1"/>
      <c r="G905" s="24"/>
    </row>
    <row r="906">
      <c r="A906" s="21"/>
      <c r="B906" s="21"/>
      <c r="C906" s="22"/>
      <c r="D906" s="1"/>
      <c r="E906" s="1"/>
      <c r="F906" s="1"/>
      <c r="G906" s="24"/>
    </row>
    <row r="907">
      <c r="A907" s="21"/>
      <c r="B907" s="21"/>
      <c r="C907" s="22"/>
      <c r="D907" s="1"/>
      <c r="E907" s="1"/>
      <c r="F907" s="1"/>
      <c r="G907" s="24"/>
    </row>
    <row r="908">
      <c r="A908" s="21"/>
      <c r="B908" s="21"/>
      <c r="C908" s="22"/>
      <c r="D908" s="1"/>
      <c r="E908" s="1"/>
      <c r="F908" s="1"/>
      <c r="G908" s="24"/>
    </row>
    <row r="909">
      <c r="A909" s="21"/>
      <c r="B909" s="21"/>
      <c r="C909" s="22"/>
      <c r="D909" s="1"/>
      <c r="E909" s="1"/>
      <c r="F909" s="1"/>
      <c r="G909" s="24"/>
    </row>
    <row r="910">
      <c r="A910" s="21"/>
      <c r="B910" s="21"/>
      <c r="C910" s="22"/>
      <c r="D910" s="1"/>
      <c r="E910" s="1"/>
      <c r="F910" s="1"/>
      <c r="G910" s="24"/>
    </row>
    <row r="911">
      <c r="A911" s="21"/>
      <c r="B911" s="21"/>
      <c r="C911" s="22"/>
      <c r="D911" s="1"/>
      <c r="E911" s="1"/>
      <c r="F911" s="1"/>
      <c r="G911" s="24"/>
    </row>
    <row r="912">
      <c r="A912" s="21"/>
      <c r="B912" s="21"/>
      <c r="C912" s="22"/>
      <c r="D912" s="1"/>
      <c r="E912" s="1"/>
      <c r="F912" s="1"/>
      <c r="G912" s="24"/>
    </row>
    <row r="913">
      <c r="A913" s="21"/>
      <c r="B913" s="21"/>
      <c r="C913" s="22"/>
      <c r="D913" s="1"/>
      <c r="E913" s="1"/>
      <c r="F913" s="1"/>
      <c r="G913" s="24"/>
    </row>
    <row r="914">
      <c r="A914" s="21"/>
      <c r="B914" s="21"/>
      <c r="C914" s="22"/>
      <c r="D914" s="1"/>
      <c r="E914" s="1"/>
      <c r="F914" s="1"/>
      <c r="G914" s="24"/>
    </row>
    <row r="915">
      <c r="A915" s="21"/>
      <c r="B915" s="21"/>
      <c r="C915" s="22"/>
      <c r="D915" s="1"/>
      <c r="E915" s="1"/>
      <c r="F915" s="1"/>
      <c r="G915" s="24"/>
    </row>
    <row r="916">
      <c r="A916" s="21"/>
      <c r="B916" s="21"/>
      <c r="C916" s="22"/>
      <c r="D916" s="1"/>
      <c r="E916" s="1"/>
      <c r="F916" s="1"/>
      <c r="G916" s="24"/>
    </row>
    <row r="917">
      <c r="A917" s="21"/>
      <c r="B917" s="21"/>
      <c r="C917" s="22"/>
      <c r="D917" s="1"/>
      <c r="E917" s="1"/>
      <c r="F917" s="1"/>
      <c r="G917" s="24"/>
    </row>
    <row r="918">
      <c r="A918" s="21"/>
      <c r="B918" s="21"/>
      <c r="C918" s="22"/>
      <c r="D918" s="1"/>
      <c r="E918" s="1"/>
      <c r="F918" s="1"/>
      <c r="G918" s="24"/>
    </row>
    <row r="919">
      <c r="A919" s="21"/>
      <c r="B919" s="21"/>
      <c r="C919" s="22"/>
      <c r="D919" s="1"/>
      <c r="E919" s="1"/>
      <c r="F919" s="1"/>
      <c r="G919" s="24"/>
    </row>
    <row r="920">
      <c r="A920" s="21"/>
      <c r="B920" s="21"/>
      <c r="C920" s="22"/>
      <c r="D920" s="1"/>
      <c r="E920" s="1"/>
      <c r="F920" s="1"/>
      <c r="G920" s="24"/>
    </row>
    <row r="921">
      <c r="A921" s="21"/>
      <c r="B921" s="21"/>
      <c r="C921" s="22"/>
      <c r="D921" s="1"/>
      <c r="E921" s="1"/>
      <c r="F921" s="1"/>
      <c r="G921" s="24"/>
    </row>
    <row r="922">
      <c r="A922" s="21"/>
      <c r="B922" s="21"/>
      <c r="C922" s="22"/>
      <c r="D922" s="1"/>
      <c r="E922" s="1"/>
      <c r="F922" s="1"/>
      <c r="G922" s="24"/>
    </row>
    <row r="923">
      <c r="A923" s="21"/>
      <c r="B923" s="21"/>
      <c r="C923" s="22"/>
      <c r="D923" s="1"/>
      <c r="E923" s="1"/>
      <c r="F923" s="1"/>
      <c r="G923" s="24"/>
    </row>
    <row r="924">
      <c r="A924" s="21"/>
      <c r="B924" s="21"/>
      <c r="C924" s="22"/>
      <c r="D924" s="1"/>
      <c r="E924" s="1"/>
      <c r="F924" s="1"/>
      <c r="G924" s="24"/>
    </row>
    <row r="925">
      <c r="A925" s="21"/>
      <c r="B925" s="21"/>
      <c r="C925" s="22"/>
      <c r="D925" s="1"/>
      <c r="E925" s="1"/>
      <c r="F925" s="1"/>
      <c r="G925" s="24"/>
    </row>
    <row r="926">
      <c r="A926" s="21"/>
      <c r="B926" s="21"/>
      <c r="C926" s="22"/>
      <c r="D926" s="1"/>
      <c r="E926" s="1"/>
      <c r="F926" s="1"/>
      <c r="G926" s="24"/>
    </row>
    <row r="927">
      <c r="A927" s="21"/>
      <c r="B927" s="21"/>
      <c r="C927" s="22"/>
      <c r="D927" s="1"/>
      <c r="E927" s="1"/>
      <c r="F927" s="1"/>
      <c r="G927" s="24"/>
    </row>
    <row r="928">
      <c r="A928" s="21"/>
      <c r="B928" s="21"/>
      <c r="C928" s="22"/>
      <c r="D928" s="1"/>
      <c r="E928" s="1"/>
      <c r="F928" s="1"/>
      <c r="G928" s="24"/>
    </row>
    <row r="929">
      <c r="A929" s="21"/>
      <c r="B929" s="21"/>
      <c r="C929" s="22"/>
      <c r="D929" s="1"/>
      <c r="E929" s="1"/>
      <c r="F929" s="1"/>
      <c r="G929" s="24"/>
    </row>
    <row r="930">
      <c r="A930" s="21"/>
      <c r="B930" s="21"/>
      <c r="C930" s="22"/>
      <c r="D930" s="1"/>
      <c r="E930" s="1"/>
      <c r="F930" s="1"/>
      <c r="G930" s="24"/>
    </row>
    <row r="931">
      <c r="A931" s="21"/>
      <c r="B931" s="21"/>
      <c r="C931" s="22"/>
      <c r="D931" s="1"/>
      <c r="E931" s="1"/>
      <c r="F931" s="1"/>
      <c r="G931" s="24"/>
    </row>
    <row r="932">
      <c r="A932" s="21"/>
      <c r="B932" s="21"/>
      <c r="C932" s="22"/>
      <c r="D932" s="1"/>
      <c r="E932" s="1"/>
      <c r="F932" s="1"/>
      <c r="G932" s="24"/>
    </row>
    <row r="933">
      <c r="A933" s="21"/>
      <c r="B933" s="21"/>
      <c r="C933" s="22"/>
      <c r="D933" s="1"/>
      <c r="E933" s="1"/>
      <c r="F933" s="1"/>
      <c r="G933" s="24"/>
    </row>
    <row r="934">
      <c r="A934" s="21"/>
      <c r="B934" s="21"/>
      <c r="C934" s="22"/>
      <c r="D934" s="1"/>
      <c r="E934" s="1"/>
      <c r="F934" s="1"/>
      <c r="G934" s="24"/>
    </row>
    <row r="935">
      <c r="A935" s="21"/>
      <c r="B935" s="21"/>
      <c r="C935" s="22"/>
      <c r="D935" s="1"/>
      <c r="E935" s="1"/>
      <c r="F935" s="1"/>
      <c r="G935" s="24"/>
    </row>
    <row r="936">
      <c r="A936" s="21"/>
      <c r="B936" s="21"/>
      <c r="C936" s="22"/>
      <c r="D936" s="1"/>
      <c r="E936" s="1"/>
      <c r="F936" s="1"/>
      <c r="G936" s="24"/>
    </row>
    <row r="937">
      <c r="A937" s="21"/>
      <c r="B937" s="21"/>
      <c r="C937" s="22"/>
      <c r="D937" s="1"/>
      <c r="E937" s="1"/>
      <c r="F937" s="1"/>
      <c r="G937" s="24"/>
    </row>
    <row r="938">
      <c r="A938" s="21"/>
      <c r="B938" s="21"/>
      <c r="C938" s="22"/>
      <c r="D938" s="1"/>
      <c r="E938" s="1"/>
      <c r="F938" s="1"/>
      <c r="G938" s="24"/>
    </row>
    <row r="939">
      <c r="A939" s="21"/>
      <c r="B939" s="21"/>
      <c r="C939" s="22"/>
      <c r="D939" s="1"/>
      <c r="E939" s="1"/>
      <c r="F939" s="1"/>
      <c r="G939" s="24"/>
    </row>
    <row r="940">
      <c r="A940" s="21"/>
      <c r="B940" s="21"/>
      <c r="C940" s="22"/>
      <c r="D940" s="1"/>
      <c r="E940" s="1"/>
      <c r="F940" s="1"/>
      <c r="G940" s="24"/>
    </row>
    <row r="941">
      <c r="A941" s="21"/>
      <c r="B941" s="21"/>
      <c r="C941" s="22"/>
      <c r="D941" s="1"/>
      <c r="E941" s="1"/>
      <c r="F941" s="1"/>
      <c r="G941" s="24"/>
    </row>
    <row r="942">
      <c r="A942" s="21"/>
      <c r="B942" s="21"/>
      <c r="C942" s="22"/>
      <c r="D942" s="1"/>
      <c r="E942" s="1"/>
      <c r="F942" s="1"/>
      <c r="G942" s="24"/>
    </row>
    <row r="943">
      <c r="A943" s="21"/>
      <c r="B943" s="21"/>
      <c r="C943" s="22"/>
      <c r="D943" s="1"/>
      <c r="E943" s="1"/>
      <c r="F943" s="1"/>
      <c r="G943" s="24"/>
    </row>
    <row r="944">
      <c r="A944" s="21"/>
      <c r="B944" s="21"/>
      <c r="C944" s="22"/>
      <c r="D944" s="1"/>
      <c r="E944" s="1"/>
      <c r="F944" s="1"/>
      <c r="G944" s="24"/>
    </row>
    <row r="945">
      <c r="A945" s="21"/>
      <c r="B945" s="21"/>
      <c r="C945" s="22"/>
      <c r="D945" s="1"/>
      <c r="E945" s="1"/>
      <c r="F945" s="1"/>
      <c r="G945" s="24"/>
    </row>
    <row r="946">
      <c r="A946" s="21"/>
      <c r="B946" s="21"/>
      <c r="C946" s="22"/>
      <c r="D946" s="1"/>
      <c r="E946" s="1"/>
      <c r="F946" s="1"/>
      <c r="G946" s="24"/>
    </row>
    <row r="947">
      <c r="A947" s="21"/>
      <c r="B947" s="21"/>
      <c r="C947" s="22"/>
      <c r="D947" s="1"/>
      <c r="E947" s="1"/>
      <c r="F947" s="1"/>
      <c r="G947" s="24"/>
    </row>
    <row r="948">
      <c r="A948" s="21"/>
      <c r="B948" s="21"/>
      <c r="C948" s="22"/>
      <c r="D948" s="1"/>
      <c r="E948" s="1"/>
      <c r="F948" s="1"/>
      <c r="G948" s="24"/>
    </row>
    <row r="949">
      <c r="A949" s="21"/>
      <c r="B949" s="21"/>
      <c r="C949" s="22"/>
      <c r="D949" s="1"/>
      <c r="E949" s="1"/>
      <c r="F949" s="1"/>
      <c r="G949" s="24"/>
    </row>
    <row r="950">
      <c r="A950" s="21"/>
      <c r="B950" s="21"/>
      <c r="C950" s="22"/>
      <c r="D950" s="1"/>
      <c r="E950" s="1"/>
      <c r="F950" s="1"/>
      <c r="G950" s="24"/>
    </row>
    <row r="951">
      <c r="A951" s="21"/>
      <c r="B951" s="21"/>
      <c r="C951" s="22"/>
      <c r="D951" s="1"/>
      <c r="E951" s="1"/>
      <c r="F951" s="1"/>
      <c r="G951" s="24"/>
    </row>
    <row r="952">
      <c r="A952" s="21"/>
      <c r="B952" s="21"/>
      <c r="C952" s="22"/>
      <c r="D952" s="1"/>
      <c r="E952" s="1"/>
      <c r="F952" s="1"/>
      <c r="G952" s="24"/>
    </row>
    <row r="953">
      <c r="A953" s="21"/>
      <c r="B953" s="21"/>
      <c r="C953" s="22"/>
      <c r="D953" s="1"/>
      <c r="E953" s="1"/>
      <c r="F953" s="1"/>
      <c r="G953" s="24"/>
    </row>
    <row r="954">
      <c r="A954" s="21"/>
      <c r="B954" s="21"/>
      <c r="C954" s="22"/>
      <c r="D954" s="1"/>
      <c r="E954" s="1"/>
      <c r="F954" s="1"/>
      <c r="G954" s="24"/>
    </row>
    <row r="955">
      <c r="A955" s="21"/>
      <c r="B955" s="21"/>
      <c r="C955" s="22"/>
      <c r="D955" s="1"/>
      <c r="E955" s="1"/>
      <c r="F955" s="1"/>
      <c r="G955" s="24"/>
    </row>
    <row r="956">
      <c r="A956" s="21"/>
      <c r="B956" s="21"/>
      <c r="C956" s="22"/>
      <c r="D956" s="1"/>
      <c r="E956" s="1"/>
      <c r="F956" s="1"/>
      <c r="G956" s="24"/>
    </row>
    <row r="957">
      <c r="A957" s="21"/>
      <c r="B957" s="21"/>
      <c r="C957" s="22"/>
      <c r="D957" s="1"/>
      <c r="E957" s="1"/>
      <c r="F957" s="1"/>
      <c r="G957" s="24"/>
    </row>
    <row r="958">
      <c r="A958" s="21"/>
      <c r="B958" s="21"/>
      <c r="C958" s="22"/>
      <c r="D958" s="1"/>
      <c r="E958" s="1"/>
      <c r="F958" s="1"/>
      <c r="G958" s="24"/>
    </row>
    <row r="959">
      <c r="A959" s="21"/>
      <c r="B959" s="21"/>
      <c r="C959" s="22"/>
      <c r="D959" s="1"/>
      <c r="E959" s="1"/>
      <c r="F959" s="1"/>
      <c r="G959" s="24"/>
    </row>
    <row r="960">
      <c r="A960" s="21"/>
      <c r="B960" s="21"/>
      <c r="C960" s="22"/>
      <c r="D960" s="1"/>
      <c r="E960" s="1"/>
      <c r="F960" s="1"/>
      <c r="G960" s="24"/>
    </row>
    <row r="961">
      <c r="A961" s="21"/>
      <c r="B961" s="21"/>
      <c r="C961" s="22"/>
      <c r="D961" s="1"/>
      <c r="E961" s="1"/>
      <c r="F961" s="1"/>
      <c r="G961" s="24"/>
    </row>
    <row r="962">
      <c r="A962" s="21"/>
      <c r="B962" s="21"/>
      <c r="C962" s="22"/>
      <c r="D962" s="1"/>
      <c r="E962" s="1"/>
      <c r="F962" s="1"/>
      <c r="G962" s="24"/>
    </row>
    <row r="963">
      <c r="A963" s="21"/>
      <c r="B963" s="21"/>
      <c r="C963" s="22"/>
      <c r="D963" s="1"/>
      <c r="E963" s="1"/>
      <c r="F963" s="1"/>
      <c r="G963" s="24"/>
    </row>
    <row r="964">
      <c r="A964" s="21"/>
      <c r="B964" s="21"/>
      <c r="C964" s="22"/>
      <c r="D964" s="1"/>
      <c r="E964" s="1"/>
      <c r="F964" s="1"/>
      <c r="G964" s="24"/>
    </row>
    <row r="965">
      <c r="A965" s="21"/>
      <c r="B965" s="21"/>
      <c r="C965" s="22"/>
      <c r="D965" s="1"/>
      <c r="E965" s="1"/>
      <c r="F965" s="1"/>
      <c r="G965" s="24"/>
    </row>
    <row r="966">
      <c r="A966" s="21"/>
      <c r="B966" s="21"/>
      <c r="C966" s="22"/>
      <c r="D966" s="1"/>
      <c r="E966" s="1"/>
      <c r="F966" s="1"/>
      <c r="G966" s="24"/>
    </row>
    <row r="967">
      <c r="A967" s="21"/>
      <c r="B967" s="21"/>
      <c r="C967" s="22"/>
      <c r="D967" s="1"/>
      <c r="E967" s="1"/>
      <c r="F967" s="1"/>
      <c r="G967" s="24"/>
    </row>
    <row r="968">
      <c r="A968" s="21"/>
      <c r="B968" s="21"/>
      <c r="C968" s="22"/>
      <c r="D968" s="1"/>
      <c r="E968" s="1"/>
      <c r="F968" s="1"/>
      <c r="G968" s="24"/>
    </row>
    <row r="969">
      <c r="A969" s="21"/>
      <c r="B969" s="21"/>
      <c r="C969" s="22"/>
      <c r="D969" s="1"/>
      <c r="E969" s="1"/>
      <c r="F969" s="1"/>
      <c r="G969" s="24"/>
    </row>
    <row r="970">
      <c r="A970" s="21"/>
      <c r="B970" s="21"/>
      <c r="C970" s="22"/>
      <c r="D970" s="1"/>
      <c r="E970" s="1"/>
      <c r="F970" s="1"/>
      <c r="G970" s="24"/>
    </row>
    <row r="971">
      <c r="A971" s="21"/>
      <c r="B971" s="21"/>
      <c r="C971" s="22"/>
      <c r="D971" s="1"/>
      <c r="E971" s="1"/>
      <c r="F971" s="1"/>
      <c r="G971" s="24"/>
    </row>
    <row r="972">
      <c r="A972" s="21"/>
      <c r="B972" s="21"/>
      <c r="C972" s="22"/>
      <c r="D972" s="1"/>
      <c r="E972" s="1"/>
      <c r="F972" s="1"/>
      <c r="G972" s="24"/>
    </row>
    <row r="973">
      <c r="A973" s="21"/>
      <c r="B973" s="21"/>
      <c r="C973" s="22"/>
      <c r="D973" s="1"/>
      <c r="E973" s="1"/>
      <c r="F973" s="1"/>
      <c r="G973" s="24"/>
    </row>
    <row r="974">
      <c r="A974" s="21"/>
      <c r="B974" s="21"/>
      <c r="C974" s="22"/>
      <c r="D974" s="1"/>
      <c r="E974" s="1"/>
      <c r="F974" s="1"/>
      <c r="G974" s="24"/>
    </row>
    <row r="975">
      <c r="A975" s="21"/>
      <c r="B975" s="21"/>
      <c r="C975" s="22"/>
      <c r="D975" s="1"/>
      <c r="E975" s="1"/>
      <c r="F975" s="1"/>
      <c r="G975" s="24"/>
    </row>
    <row r="976">
      <c r="A976" s="21"/>
      <c r="B976" s="21"/>
      <c r="C976" s="22"/>
      <c r="D976" s="1"/>
      <c r="E976" s="1"/>
      <c r="F976" s="1"/>
      <c r="G976" s="24"/>
    </row>
    <row r="977">
      <c r="A977" s="21"/>
      <c r="B977" s="21"/>
      <c r="C977" s="22"/>
      <c r="D977" s="1"/>
      <c r="E977" s="1"/>
      <c r="F977" s="1"/>
      <c r="G977" s="24"/>
    </row>
    <row r="978">
      <c r="A978" s="21"/>
      <c r="B978" s="21"/>
      <c r="C978" s="22"/>
      <c r="D978" s="1"/>
      <c r="E978" s="1"/>
      <c r="F978" s="1"/>
      <c r="G978" s="24"/>
    </row>
    <row r="979">
      <c r="A979" s="21"/>
      <c r="B979" s="21"/>
      <c r="C979" s="22"/>
      <c r="D979" s="1"/>
      <c r="E979" s="1"/>
      <c r="F979" s="1"/>
      <c r="G979" s="24"/>
    </row>
    <row r="980">
      <c r="A980" s="21"/>
      <c r="B980" s="21"/>
      <c r="C980" s="22"/>
      <c r="D980" s="1"/>
      <c r="E980" s="1"/>
      <c r="F980" s="1"/>
      <c r="G980" s="24"/>
    </row>
    <row r="981">
      <c r="A981" s="21"/>
      <c r="B981" s="21"/>
      <c r="C981" s="22"/>
      <c r="D981" s="1"/>
      <c r="E981" s="1"/>
      <c r="F981" s="1"/>
      <c r="G981" s="24"/>
    </row>
    <row r="982">
      <c r="A982" s="21"/>
      <c r="B982" s="21"/>
      <c r="C982" s="22"/>
      <c r="D982" s="1"/>
      <c r="E982" s="1"/>
      <c r="F982" s="1"/>
      <c r="G982" s="24"/>
    </row>
    <row r="983">
      <c r="A983" s="21"/>
      <c r="B983" s="21"/>
      <c r="C983" s="22"/>
      <c r="D983" s="1"/>
      <c r="E983" s="1"/>
      <c r="F983" s="1"/>
      <c r="G983" s="24"/>
    </row>
    <row r="984">
      <c r="A984" s="21"/>
      <c r="B984" s="21"/>
      <c r="C984" s="22"/>
      <c r="D984" s="1"/>
      <c r="E984" s="1"/>
      <c r="F984" s="1"/>
      <c r="G984" s="24"/>
    </row>
    <row r="985">
      <c r="A985" s="21"/>
      <c r="B985" s="21"/>
      <c r="C985" s="22"/>
      <c r="D985" s="1"/>
      <c r="E985" s="1"/>
      <c r="F985" s="1"/>
      <c r="G985" s="24"/>
    </row>
    <row r="986">
      <c r="A986" s="21"/>
      <c r="B986" s="21"/>
      <c r="C986" s="22"/>
      <c r="D986" s="1"/>
      <c r="E986" s="1"/>
      <c r="F986" s="1"/>
      <c r="G986" s="24"/>
    </row>
    <row r="987">
      <c r="A987" s="21"/>
      <c r="B987" s="21"/>
      <c r="C987" s="22"/>
      <c r="D987" s="1"/>
      <c r="E987" s="1"/>
      <c r="F987" s="1"/>
      <c r="G987" s="24"/>
    </row>
    <row r="988">
      <c r="A988" s="21"/>
      <c r="B988" s="21"/>
      <c r="C988" s="22"/>
      <c r="D988" s="1"/>
      <c r="E988" s="1"/>
      <c r="F988" s="1"/>
      <c r="G988" s="24"/>
    </row>
    <row r="989">
      <c r="A989" s="21"/>
      <c r="B989" s="21"/>
      <c r="C989" s="22"/>
      <c r="D989" s="1"/>
      <c r="E989" s="1"/>
      <c r="F989" s="1"/>
      <c r="G989" s="24"/>
    </row>
    <row r="990">
      <c r="A990" s="21"/>
      <c r="B990" s="21"/>
      <c r="C990" s="22"/>
      <c r="D990" s="1"/>
      <c r="E990" s="1"/>
      <c r="F990" s="1"/>
      <c r="G990" s="24"/>
    </row>
    <row r="991">
      <c r="A991" s="21"/>
      <c r="B991" s="21"/>
      <c r="C991" s="22"/>
      <c r="D991" s="1"/>
      <c r="E991" s="1"/>
      <c r="F991" s="1"/>
      <c r="G991" s="24"/>
    </row>
    <row r="992">
      <c r="A992" s="21"/>
      <c r="B992" s="21"/>
      <c r="C992" s="22"/>
      <c r="D992" s="1"/>
      <c r="E992" s="1"/>
      <c r="F992" s="1"/>
      <c r="G992" s="24"/>
    </row>
    <row r="993">
      <c r="A993" s="21"/>
      <c r="B993" s="21"/>
      <c r="C993" s="22"/>
      <c r="D993" s="1"/>
      <c r="E993" s="1"/>
      <c r="F993" s="1"/>
      <c r="G993" s="24"/>
    </row>
    <row r="994">
      <c r="A994" s="21"/>
      <c r="B994" s="21"/>
      <c r="C994" s="22"/>
      <c r="D994" s="1"/>
      <c r="E994" s="1"/>
      <c r="F994" s="1"/>
      <c r="G994" s="24"/>
    </row>
    <row r="995">
      <c r="A995" s="21"/>
      <c r="B995" s="21"/>
      <c r="C995" s="22"/>
      <c r="D995" s="1"/>
      <c r="E995" s="1"/>
      <c r="F995" s="1"/>
      <c r="G995" s="24"/>
    </row>
    <row r="996">
      <c r="A996" s="21"/>
      <c r="B996" s="21"/>
      <c r="C996" s="22"/>
      <c r="D996" s="1"/>
      <c r="E996" s="1"/>
      <c r="F996" s="1"/>
      <c r="G996" s="24"/>
    </row>
    <row r="997">
      <c r="A997" s="21"/>
      <c r="B997" s="21"/>
      <c r="C997" s="22"/>
      <c r="D997" s="1"/>
      <c r="E997" s="1"/>
      <c r="F997" s="1"/>
      <c r="G997" s="24"/>
    </row>
    <row r="998">
      <c r="A998" s="21"/>
      <c r="B998" s="21"/>
      <c r="C998" s="22"/>
      <c r="D998" s="1"/>
      <c r="E998" s="1"/>
      <c r="F998" s="1"/>
      <c r="G998" s="24"/>
    </row>
    <row r="999">
      <c r="A999" s="21"/>
      <c r="B999" s="21"/>
      <c r="C999" s="22"/>
      <c r="D999" s="1"/>
      <c r="E999" s="1"/>
      <c r="F999" s="1"/>
      <c r="G999" s="24"/>
    </row>
    <row r="1000">
      <c r="A1000" s="21"/>
      <c r="B1000" s="21"/>
      <c r="C1000" s="22"/>
      <c r="D1000" s="1"/>
      <c r="E1000" s="1"/>
      <c r="F1000" s="1"/>
      <c r="G1000" s="24"/>
    </row>
  </sheetData>
  <mergeCells count="2">
    <mergeCell ref="B1:H1"/>
    <mergeCell ref="B2:G2"/>
  </mergeCells>
  <conditionalFormatting sqref="D5:E14">
    <cfRule type="containsText" dxfId="0" priority="1" operator="containsText" text="Não iniciado">
      <formula>NOT(ISERROR(SEARCH(("Não iniciado"),(D5))))</formula>
    </cfRule>
  </conditionalFormatting>
  <conditionalFormatting sqref="D5:E14">
    <cfRule type="containsText" dxfId="1" priority="2" operator="containsText" text="Em execução">
      <formula>NOT(ISERROR(SEARCH(("Em execução"),(D5))))</formula>
    </cfRule>
  </conditionalFormatting>
  <conditionalFormatting sqref="D5:E14">
    <cfRule type="containsText" dxfId="2" priority="3" operator="containsText" text="Concluída">
      <formula>NOT(ISERROR(SEARCH(("Concluída"),(D5))))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1.5"/>
    <col customWidth="1" min="2" max="2" width="22.38"/>
    <col customWidth="1" min="3" max="5" width="15.38"/>
    <col customWidth="1" min="7" max="7" width="30.75"/>
  </cols>
  <sheetData>
    <row r="1" ht="75.0" customHeight="1">
      <c r="A1" s="2" t="s">
        <v>3</v>
      </c>
      <c r="B1" s="3" t="s">
        <v>5</v>
      </c>
      <c r="H1" s="9">
        <f>SUM(C7:E7, H7) / 100</f>
        <v>1.008333333</v>
      </c>
    </row>
    <row r="2">
      <c r="A2" s="10" t="s">
        <v>10</v>
      </c>
    </row>
    <row r="3">
      <c r="A3" s="12"/>
    </row>
    <row r="4">
      <c r="A4" s="23" t="s">
        <v>12</v>
      </c>
      <c r="B4" s="6"/>
      <c r="C4" s="6"/>
      <c r="D4" s="6"/>
      <c r="E4" s="8"/>
      <c r="G4" s="23" t="s">
        <v>16</v>
      </c>
      <c r="H4" s="8"/>
      <c r="I4" s="15"/>
    </row>
    <row r="5">
      <c r="A5" s="16" t="s">
        <v>11</v>
      </c>
      <c r="B5" s="8"/>
      <c r="C5" s="17">
        <v>100.0</v>
      </c>
      <c r="D5" s="32">
        <v>100.0</v>
      </c>
      <c r="E5" s="32">
        <v>100.0</v>
      </c>
      <c r="G5" s="35" t="s">
        <v>11</v>
      </c>
      <c r="H5" s="17">
        <v>3.0</v>
      </c>
      <c r="I5" s="18"/>
    </row>
    <row r="6">
      <c r="A6" s="16" t="s">
        <v>13</v>
      </c>
      <c r="B6" s="8"/>
      <c r="C6" s="17">
        <f>COUNTA(A10:A109)</f>
        <v>100</v>
      </c>
      <c r="D6" s="17">
        <f t="shared" ref="D6:E6" si="1">COUNTA(D10:D1000)</f>
        <v>125</v>
      </c>
      <c r="E6" s="17">
        <f t="shared" si="1"/>
        <v>125</v>
      </c>
      <c r="G6" s="35" t="s">
        <v>13</v>
      </c>
      <c r="H6" s="17">
        <f>COUNTA(H10:H1001)</f>
        <v>2</v>
      </c>
      <c r="I6" s="18"/>
    </row>
    <row r="7">
      <c r="A7" s="16" t="s">
        <v>17</v>
      </c>
      <c r="B7" s="8"/>
      <c r="C7" s="48">
        <f t="shared" ref="C7:E7" si="2">(C6 * C8) / C5</f>
        <v>50</v>
      </c>
      <c r="D7" s="48">
        <f t="shared" si="2"/>
        <v>18.75</v>
      </c>
      <c r="E7" s="48">
        <f t="shared" si="2"/>
        <v>18.75</v>
      </c>
      <c r="G7" s="35" t="s">
        <v>17</v>
      </c>
      <c r="H7" s="48">
        <f>(H6 * H8) / H5</f>
        <v>13.33333333</v>
      </c>
      <c r="I7" s="18"/>
    </row>
    <row r="8">
      <c r="A8" s="50" t="s">
        <v>24</v>
      </c>
      <c r="B8" s="8"/>
      <c r="C8" s="52">
        <v>50.0</v>
      </c>
      <c r="D8" s="53">
        <v>15.0</v>
      </c>
      <c r="E8" s="53">
        <v>15.0</v>
      </c>
      <c r="G8" s="55" t="s">
        <v>24</v>
      </c>
      <c r="H8" s="38">
        <v>20.0</v>
      </c>
      <c r="I8" s="18"/>
    </row>
    <row r="9" ht="52.5" customHeight="1">
      <c r="A9" s="39" t="s">
        <v>26</v>
      </c>
      <c r="B9" s="39" t="s">
        <v>27</v>
      </c>
      <c r="C9" s="40" t="s">
        <v>81</v>
      </c>
      <c r="D9" s="40" t="s">
        <v>83</v>
      </c>
      <c r="E9" s="40" t="s">
        <v>85</v>
      </c>
      <c r="F9" s="18"/>
      <c r="G9" s="54" t="s">
        <v>88</v>
      </c>
      <c r="H9" s="40" t="s">
        <v>91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>
      <c r="A10" s="41" t="s">
        <v>76</v>
      </c>
      <c r="B10" s="41"/>
      <c r="C10" s="42" t="s">
        <v>79</v>
      </c>
      <c r="D10" s="42" t="s">
        <v>79</v>
      </c>
      <c r="E10" s="42" t="s">
        <v>79</v>
      </c>
      <c r="G10" s="41" t="s">
        <v>104</v>
      </c>
      <c r="H10" s="41" t="s">
        <v>79</v>
      </c>
    </row>
    <row r="11">
      <c r="A11" s="41" t="s">
        <v>107</v>
      </c>
      <c r="B11" s="41"/>
      <c r="C11" s="42" t="s">
        <v>79</v>
      </c>
      <c r="D11" s="42" t="s">
        <v>79</v>
      </c>
      <c r="E11" s="42" t="s">
        <v>79</v>
      </c>
      <c r="G11" s="41" t="s">
        <v>111</v>
      </c>
      <c r="H11" s="41" t="s">
        <v>79</v>
      </c>
    </row>
    <row r="12">
      <c r="A12" s="41" t="s">
        <v>112</v>
      </c>
      <c r="B12" s="41"/>
      <c r="C12" s="42" t="s">
        <v>79</v>
      </c>
      <c r="D12" s="42" t="s">
        <v>79</v>
      </c>
      <c r="E12" s="42" t="s">
        <v>79</v>
      </c>
      <c r="G12" s="41" t="s">
        <v>114</v>
      </c>
      <c r="H12" s="41"/>
    </row>
    <row r="13">
      <c r="A13" s="41" t="s">
        <v>116</v>
      </c>
      <c r="B13" s="41"/>
      <c r="C13" s="42" t="s">
        <v>79</v>
      </c>
      <c r="D13" s="42" t="s">
        <v>79</v>
      </c>
      <c r="E13" s="42" t="s">
        <v>79</v>
      </c>
      <c r="G13" s="62"/>
      <c r="H13" s="62"/>
    </row>
    <row r="14">
      <c r="A14" s="41" t="s">
        <v>121</v>
      </c>
      <c r="B14" s="41"/>
      <c r="C14" s="42" t="s">
        <v>79</v>
      </c>
      <c r="D14" s="42" t="s">
        <v>79</v>
      </c>
      <c r="E14" s="42" t="s">
        <v>79</v>
      </c>
      <c r="G14" s="62"/>
      <c r="H14" s="62"/>
    </row>
    <row r="15">
      <c r="A15" s="41" t="s">
        <v>124</v>
      </c>
      <c r="B15" s="41"/>
      <c r="C15" s="42" t="s">
        <v>79</v>
      </c>
      <c r="D15" s="42" t="s">
        <v>79</v>
      </c>
      <c r="E15" s="42" t="s">
        <v>79</v>
      </c>
      <c r="G15" s="62"/>
      <c r="H15" s="62"/>
    </row>
    <row r="16">
      <c r="A16" s="41" t="s">
        <v>127</v>
      </c>
      <c r="B16" s="41"/>
      <c r="C16" s="42" t="s">
        <v>79</v>
      </c>
      <c r="D16" s="42" t="s">
        <v>79</v>
      </c>
      <c r="E16" s="42" t="s">
        <v>79</v>
      </c>
      <c r="G16" s="62"/>
      <c r="H16" s="62"/>
    </row>
    <row r="17">
      <c r="A17" s="41" t="s">
        <v>132</v>
      </c>
      <c r="B17" s="41"/>
      <c r="C17" s="42" t="s">
        <v>79</v>
      </c>
      <c r="D17" s="42" t="s">
        <v>79</v>
      </c>
      <c r="E17" s="42" t="s">
        <v>79</v>
      </c>
      <c r="G17" s="62"/>
      <c r="H17" s="62"/>
    </row>
    <row r="18">
      <c r="A18" s="41" t="s">
        <v>136</v>
      </c>
      <c r="B18" s="41"/>
      <c r="C18" s="42" t="s">
        <v>79</v>
      </c>
      <c r="D18" s="42" t="s">
        <v>79</v>
      </c>
      <c r="E18" s="42" t="s">
        <v>79</v>
      </c>
      <c r="G18" s="62"/>
      <c r="H18" s="62"/>
    </row>
    <row r="19">
      <c r="A19" s="41" t="s">
        <v>139</v>
      </c>
      <c r="B19" s="41"/>
      <c r="C19" s="42" t="s">
        <v>79</v>
      </c>
      <c r="D19" s="42" t="s">
        <v>79</v>
      </c>
      <c r="E19" s="42" t="s">
        <v>79</v>
      </c>
      <c r="G19" s="62"/>
      <c r="H19" s="62"/>
    </row>
    <row r="20">
      <c r="A20" s="41" t="s">
        <v>143</v>
      </c>
      <c r="B20" s="41"/>
      <c r="C20" s="42" t="s">
        <v>79</v>
      </c>
      <c r="D20" s="42" t="s">
        <v>79</v>
      </c>
      <c r="E20" s="42" t="s">
        <v>79</v>
      </c>
    </row>
    <row r="21">
      <c r="A21" s="41" t="s">
        <v>146</v>
      </c>
      <c r="B21" s="41"/>
      <c r="C21" s="42" t="s">
        <v>79</v>
      </c>
      <c r="D21" s="42" t="s">
        <v>79</v>
      </c>
      <c r="E21" s="42" t="s">
        <v>79</v>
      </c>
    </row>
    <row r="22">
      <c r="A22" s="41" t="s">
        <v>149</v>
      </c>
      <c r="B22" s="41"/>
      <c r="C22" s="42" t="s">
        <v>79</v>
      </c>
      <c r="D22" s="42" t="s">
        <v>79</v>
      </c>
      <c r="E22" s="42" t="s">
        <v>79</v>
      </c>
    </row>
    <row r="23">
      <c r="A23" s="41" t="s">
        <v>152</v>
      </c>
      <c r="B23" s="41"/>
      <c r="C23" s="42" t="s">
        <v>79</v>
      </c>
      <c r="D23" s="42" t="s">
        <v>79</v>
      </c>
      <c r="E23" s="42" t="s">
        <v>79</v>
      </c>
    </row>
    <row r="24">
      <c r="A24" s="41" t="s">
        <v>155</v>
      </c>
      <c r="B24" s="41"/>
      <c r="C24" s="42" t="s">
        <v>79</v>
      </c>
      <c r="D24" s="42" t="s">
        <v>79</v>
      </c>
      <c r="E24" s="42" t="s">
        <v>79</v>
      </c>
    </row>
    <row r="25">
      <c r="A25" s="41" t="s">
        <v>158</v>
      </c>
      <c r="B25" s="41"/>
      <c r="C25" s="42" t="s">
        <v>79</v>
      </c>
      <c r="D25" s="42" t="s">
        <v>79</v>
      </c>
      <c r="E25" s="42" t="s">
        <v>79</v>
      </c>
    </row>
    <row r="26">
      <c r="A26" s="41" t="s">
        <v>162</v>
      </c>
      <c r="B26" s="41"/>
      <c r="C26" s="42" t="s">
        <v>79</v>
      </c>
      <c r="D26" s="42" t="s">
        <v>79</v>
      </c>
      <c r="E26" s="42" t="s">
        <v>79</v>
      </c>
    </row>
    <row r="27">
      <c r="A27" s="41" t="s">
        <v>166</v>
      </c>
      <c r="B27" s="41"/>
      <c r="C27" s="42" t="s">
        <v>79</v>
      </c>
      <c r="D27" s="42" t="s">
        <v>79</v>
      </c>
      <c r="E27" s="42" t="s">
        <v>79</v>
      </c>
    </row>
    <row r="28">
      <c r="A28" s="41" t="s">
        <v>168</v>
      </c>
      <c r="B28" s="41"/>
      <c r="C28" s="42" t="s">
        <v>79</v>
      </c>
      <c r="D28" s="42" t="s">
        <v>79</v>
      </c>
      <c r="E28" s="42" t="s">
        <v>79</v>
      </c>
    </row>
    <row r="29">
      <c r="A29" s="41" t="s">
        <v>172</v>
      </c>
      <c r="B29" s="41"/>
      <c r="C29" s="42" t="s">
        <v>79</v>
      </c>
      <c r="D29" s="42" t="s">
        <v>79</v>
      </c>
      <c r="E29" s="42" t="s">
        <v>79</v>
      </c>
    </row>
    <row r="30">
      <c r="A30" s="41" t="s">
        <v>175</v>
      </c>
      <c r="B30" s="41"/>
      <c r="C30" s="42" t="s">
        <v>79</v>
      </c>
      <c r="D30" s="42" t="s">
        <v>79</v>
      </c>
      <c r="E30" s="42" t="s">
        <v>79</v>
      </c>
    </row>
    <row r="31">
      <c r="A31" s="41" t="s">
        <v>178</v>
      </c>
      <c r="B31" s="41"/>
      <c r="C31" s="42" t="s">
        <v>79</v>
      </c>
      <c r="D31" s="42" t="s">
        <v>79</v>
      </c>
      <c r="E31" s="42" t="s">
        <v>79</v>
      </c>
    </row>
    <row r="32">
      <c r="A32" s="41" t="s">
        <v>182</v>
      </c>
      <c r="B32" s="41"/>
      <c r="C32" s="42" t="s">
        <v>79</v>
      </c>
      <c r="D32" s="42" t="s">
        <v>79</v>
      </c>
      <c r="E32" s="42" t="s">
        <v>79</v>
      </c>
    </row>
    <row r="33">
      <c r="A33" s="41" t="s">
        <v>186</v>
      </c>
      <c r="B33" s="41"/>
      <c r="C33" s="42" t="s">
        <v>79</v>
      </c>
      <c r="D33" s="42" t="s">
        <v>79</v>
      </c>
      <c r="E33" s="42" t="s">
        <v>79</v>
      </c>
    </row>
    <row r="34">
      <c r="A34" s="41" t="s">
        <v>189</v>
      </c>
      <c r="B34" s="41"/>
      <c r="C34" s="42" t="s">
        <v>79</v>
      </c>
      <c r="D34" s="42" t="s">
        <v>79</v>
      </c>
      <c r="E34" s="42" t="s">
        <v>79</v>
      </c>
    </row>
    <row r="35">
      <c r="A35" s="41" t="s">
        <v>191</v>
      </c>
      <c r="B35" s="41"/>
      <c r="C35" s="42" t="s">
        <v>79</v>
      </c>
      <c r="D35" s="42" t="s">
        <v>79</v>
      </c>
      <c r="E35" s="42" t="s">
        <v>79</v>
      </c>
    </row>
    <row r="36">
      <c r="A36" s="41" t="s">
        <v>194</v>
      </c>
      <c r="B36" s="41"/>
      <c r="C36" s="42" t="s">
        <v>79</v>
      </c>
      <c r="D36" s="42" t="s">
        <v>79</v>
      </c>
      <c r="E36" s="42" t="s">
        <v>79</v>
      </c>
    </row>
    <row r="37">
      <c r="A37" s="41" t="s">
        <v>196</v>
      </c>
      <c r="B37" s="41"/>
      <c r="C37" s="42" t="s">
        <v>79</v>
      </c>
      <c r="D37" s="42" t="s">
        <v>79</v>
      </c>
      <c r="E37" s="42" t="s">
        <v>79</v>
      </c>
    </row>
    <row r="38">
      <c r="A38" s="41" t="s">
        <v>200</v>
      </c>
      <c r="B38" s="41"/>
      <c r="C38" s="42" t="s">
        <v>79</v>
      </c>
      <c r="D38" s="42" t="s">
        <v>79</v>
      </c>
      <c r="E38" s="42" t="s">
        <v>79</v>
      </c>
    </row>
    <row r="39">
      <c r="A39" s="41" t="s">
        <v>203</v>
      </c>
      <c r="B39" s="41"/>
      <c r="C39" s="42" t="s">
        <v>79</v>
      </c>
      <c r="D39" s="42" t="s">
        <v>79</v>
      </c>
      <c r="E39" s="42" t="s">
        <v>79</v>
      </c>
    </row>
    <row r="40">
      <c r="A40" s="41" t="s">
        <v>206</v>
      </c>
      <c r="B40" s="41"/>
      <c r="C40" s="42" t="s">
        <v>79</v>
      </c>
      <c r="D40" s="42" t="s">
        <v>79</v>
      </c>
      <c r="E40" s="42" t="s">
        <v>79</v>
      </c>
    </row>
    <row r="41">
      <c r="A41" s="41" t="s">
        <v>210</v>
      </c>
      <c r="B41" s="41"/>
      <c r="C41" s="42" t="s">
        <v>79</v>
      </c>
      <c r="D41" s="42" t="s">
        <v>79</v>
      </c>
      <c r="E41" s="42" t="s">
        <v>79</v>
      </c>
    </row>
    <row r="42">
      <c r="A42" s="41" t="s">
        <v>213</v>
      </c>
      <c r="B42" s="41"/>
      <c r="C42" s="42" t="s">
        <v>79</v>
      </c>
      <c r="D42" s="42" t="s">
        <v>79</v>
      </c>
      <c r="E42" s="42" t="s">
        <v>79</v>
      </c>
    </row>
    <row r="43">
      <c r="A43" s="41" t="s">
        <v>216</v>
      </c>
      <c r="B43" s="41"/>
      <c r="C43" s="42" t="s">
        <v>79</v>
      </c>
      <c r="D43" s="42" t="s">
        <v>79</v>
      </c>
      <c r="E43" s="42" t="s">
        <v>79</v>
      </c>
    </row>
    <row r="44">
      <c r="A44" s="41" t="s">
        <v>219</v>
      </c>
      <c r="B44" s="41"/>
      <c r="C44" s="42" t="s">
        <v>79</v>
      </c>
      <c r="D44" s="42" t="s">
        <v>79</v>
      </c>
      <c r="E44" s="42" t="s">
        <v>79</v>
      </c>
    </row>
    <row r="45">
      <c r="A45" s="41" t="s">
        <v>222</v>
      </c>
      <c r="B45" s="41"/>
      <c r="C45" s="42" t="s">
        <v>79</v>
      </c>
      <c r="D45" s="42" t="s">
        <v>79</v>
      </c>
      <c r="E45" s="42" t="s">
        <v>79</v>
      </c>
    </row>
    <row r="46">
      <c r="A46" s="41" t="s">
        <v>224</v>
      </c>
      <c r="B46" s="41"/>
      <c r="C46" s="42" t="s">
        <v>79</v>
      </c>
      <c r="D46" s="42" t="s">
        <v>79</v>
      </c>
      <c r="E46" s="42" t="s">
        <v>79</v>
      </c>
    </row>
    <row r="47">
      <c r="A47" s="41" t="s">
        <v>226</v>
      </c>
      <c r="B47" s="41"/>
      <c r="C47" s="42" t="s">
        <v>79</v>
      </c>
      <c r="D47" s="42" t="s">
        <v>79</v>
      </c>
      <c r="E47" s="42" t="s">
        <v>79</v>
      </c>
    </row>
    <row r="48">
      <c r="A48" s="41" t="s">
        <v>229</v>
      </c>
      <c r="B48" s="41"/>
      <c r="C48" s="42" t="s">
        <v>79</v>
      </c>
      <c r="D48" s="42" t="s">
        <v>79</v>
      </c>
      <c r="E48" s="42" t="s">
        <v>79</v>
      </c>
    </row>
    <row r="49">
      <c r="A49" s="41" t="s">
        <v>231</v>
      </c>
      <c r="B49" s="41"/>
      <c r="C49" s="42" t="s">
        <v>79</v>
      </c>
      <c r="D49" s="42" t="s">
        <v>79</v>
      </c>
      <c r="E49" s="42" t="s">
        <v>79</v>
      </c>
    </row>
    <row r="50">
      <c r="A50" s="41" t="s">
        <v>234</v>
      </c>
      <c r="B50" s="41"/>
      <c r="C50" s="42" t="s">
        <v>79</v>
      </c>
      <c r="D50" s="42" t="s">
        <v>79</v>
      </c>
      <c r="E50" s="42" t="s">
        <v>79</v>
      </c>
    </row>
    <row r="51">
      <c r="A51" s="41" t="s">
        <v>237</v>
      </c>
      <c r="B51" s="41"/>
      <c r="C51" s="42" t="s">
        <v>79</v>
      </c>
      <c r="D51" s="42" t="s">
        <v>79</v>
      </c>
      <c r="E51" s="42" t="s">
        <v>79</v>
      </c>
    </row>
    <row r="52">
      <c r="A52" s="41" t="s">
        <v>240</v>
      </c>
      <c r="B52" s="41"/>
      <c r="C52" s="42" t="s">
        <v>79</v>
      </c>
      <c r="D52" s="42" t="s">
        <v>79</v>
      </c>
      <c r="E52" s="42" t="s">
        <v>79</v>
      </c>
    </row>
    <row r="53">
      <c r="A53" s="41" t="s">
        <v>243</v>
      </c>
      <c r="B53" s="41"/>
      <c r="C53" s="42" t="s">
        <v>79</v>
      </c>
      <c r="D53" s="42" t="s">
        <v>79</v>
      </c>
      <c r="E53" s="42" t="s">
        <v>79</v>
      </c>
    </row>
    <row r="54">
      <c r="A54" s="41" t="s">
        <v>246</v>
      </c>
      <c r="B54" s="41"/>
      <c r="C54" s="42" t="s">
        <v>79</v>
      </c>
      <c r="D54" s="42" t="s">
        <v>79</v>
      </c>
      <c r="E54" s="42" t="s">
        <v>79</v>
      </c>
    </row>
    <row r="55">
      <c r="A55" s="41" t="s">
        <v>249</v>
      </c>
      <c r="B55" s="41"/>
      <c r="C55" s="42" t="s">
        <v>79</v>
      </c>
      <c r="D55" s="42" t="s">
        <v>79</v>
      </c>
      <c r="E55" s="42" t="s">
        <v>79</v>
      </c>
    </row>
    <row r="56">
      <c r="A56" s="41" t="s">
        <v>252</v>
      </c>
      <c r="B56" s="41"/>
      <c r="C56" s="42" t="s">
        <v>79</v>
      </c>
      <c r="D56" s="42" t="s">
        <v>79</v>
      </c>
      <c r="E56" s="42" t="s">
        <v>79</v>
      </c>
    </row>
    <row r="57">
      <c r="A57" s="41" t="s">
        <v>256</v>
      </c>
      <c r="B57" s="41"/>
      <c r="C57" s="42" t="s">
        <v>79</v>
      </c>
      <c r="D57" s="42" t="s">
        <v>79</v>
      </c>
      <c r="E57" s="42" t="s">
        <v>79</v>
      </c>
    </row>
    <row r="58">
      <c r="A58" s="41" t="s">
        <v>115</v>
      </c>
      <c r="B58" s="41"/>
      <c r="C58" s="42" t="s">
        <v>79</v>
      </c>
      <c r="D58" s="42" t="s">
        <v>79</v>
      </c>
      <c r="E58" s="42" t="s">
        <v>79</v>
      </c>
    </row>
    <row r="59">
      <c r="A59" s="41" t="s">
        <v>262</v>
      </c>
      <c r="B59" s="41"/>
      <c r="C59" s="42" t="s">
        <v>79</v>
      </c>
      <c r="D59" s="42" t="s">
        <v>79</v>
      </c>
      <c r="E59" s="42" t="s">
        <v>79</v>
      </c>
    </row>
    <row r="60">
      <c r="A60" s="41" t="s">
        <v>266</v>
      </c>
      <c r="B60" s="41"/>
      <c r="C60" s="42" t="s">
        <v>79</v>
      </c>
      <c r="D60" s="42" t="s">
        <v>79</v>
      </c>
      <c r="E60" s="42" t="s">
        <v>79</v>
      </c>
    </row>
    <row r="61">
      <c r="A61" s="41" t="s">
        <v>269</v>
      </c>
      <c r="B61" s="41"/>
      <c r="C61" s="42" t="s">
        <v>79</v>
      </c>
      <c r="D61" s="42" t="s">
        <v>79</v>
      </c>
      <c r="E61" s="42" t="s">
        <v>79</v>
      </c>
    </row>
    <row r="62">
      <c r="A62" s="41" t="s">
        <v>272</v>
      </c>
      <c r="B62" s="41"/>
      <c r="C62" s="42" t="s">
        <v>79</v>
      </c>
      <c r="D62" s="42" t="s">
        <v>79</v>
      </c>
      <c r="E62" s="42" t="s">
        <v>79</v>
      </c>
    </row>
    <row r="63">
      <c r="A63" s="41" t="s">
        <v>275</v>
      </c>
      <c r="B63" s="41"/>
      <c r="C63" s="42" t="s">
        <v>79</v>
      </c>
      <c r="D63" s="42" t="s">
        <v>79</v>
      </c>
      <c r="E63" s="42" t="s">
        <v>79</v>
      </c>
    </row>
    <row r="64">
      <c r="A64" s="41" t="s">
        <v>278</v>
      </c>
      <c r="B64" s="41"/>
      <c r="C64" s="42" t="s">
        <v>79</v>
      </c>
      <c r="D64" s="42" t="s">
        <v>79</v>
      </c>
      <c r="E64" s="42" t="s">
        <v>79</v>
      </c>
    </row>
    <row r="65">
      <c r="A65" s="41" t="s">
        <v>282</v>
      </c>
      <c r="B65" s="41"/>
      <c r="C65" s="42" t="s">
        <v>79</v>
      </c>
      <c r="D65" s="42" t="s">
        <v>79</v>
      </c>
      <c r="E65" s="42" t="s">
        <v>79</v>
      </c>
    </row>
    <row r="66">
      <c r="A66" s="41" t="s">
        <v>285</v>
      </c>
      <c r="B66" s="41"/>
      <c r="C66" s="42" t="s">
        <v>79</v>
      </c>
      <c r="D66" s="42" t="s">
        <v>79</v>
      </c>
      <c r="E66" s="42" t="s">
        <v>79</v>
      </c>
    </row>
    <row r="67">
      <c r="A67" s="41" t="s">
        <v>288</v>
      </c>
      <c r="B67" s="41"/>
      <c r="C67" s="42" t="s">
        <v>79</v>
      </c>
      <c r="D67" s="42" t="s">
        <v>79</v>
      </c>
      <c r="E67" s="42" t="s">
        <v>79</v>
      </c>
    </row>
    <row r="68">
      <c r="A68" s="41" t="s">
        <v>291</v>
      </c>
      <c r="B68" s="41"/>
      <c r="C68" s="42" t="s">
        <v>79</v>
      </c>
      <c r="D68" s="42" t="s">
        <v>79</v>
      </c>
      <c r="E68" s="42" t="s">
        <v>79</v>
      </c>
    </row>
    <row r="69">
      <c r="A69" s="41" t="s">
        <v>293</v>
      </c>
      <c r="B69" s="41"/>
      <c r="C69" s="42" t="s">
        <v>79</v>
      </c>
      <c r="D69" s="42" t="s">
        <v>79</v>
      </c>
      <c r="E69" s="42" t="s">
        <v>79</v>
      </c>
    </row>
    <row r="70">
      <c r="A70" s="41" t="s">
        <v>296</v>
      </c>
      <c r="B70" s="41"/>
      <c r="C70" s="42" t="s">
        <v>79</v>
      </c>
      <c r="D70" s="42" t="s">
        <v>79</v>
      </c>
      <c r="E70" s="42" t="s">
        <v>79</v>
      </c>
    </row>
    <row r="71">
      <c r="A71" s="41" t="s">
        <v>297</v>
      </c>
      <c r="B71" s="41"/>
      <c r="C71" s="42" t="s">
        <v>79</v>
      </c>
      <c r="D71" s="42" t="s">
        <v>79</v>
      </c>
      <c r="E71" s="42" t="s">
        <v>79</v>
      </c>
    </row>
    <row r="72">
      <c r="A72" s="41" t="s">
        <v>299</v>
      </c>
      <c r="B72" s="41"/>
      <c r="C72" s="42" t="s">
        <v>79</v>
      </c>
      <c r="D72" s="42" t="s">
        <v>79</v>
      </c>
      <c r="E72" s="42" t="s">
        <v>79</v>
      </c>
    </row>
    <row r="73">
      <c r="A73" s="41" t="s">
        <v>300</v>
      </c>
      <c r="B73" s="41"/>
      <c r="C73" s="42" t="s">
        <v>79</v>
      </c>
      <c r="D73" s="42" t="s">
        <v>79</v>
      </c>
      <c r="E73" s="42" t="s">
        <v>79</v>
      </c>
    </row>
    <row r="74">
      <c r="A74" s="41" t="s">
        <v>301</v>
      </c>
      <c r="B74" s="41"/>
      <c r="C74" s="42" t="s">
        <v>79</v>
      </c>
      <c r="D74" s="42" t="s">
        <v>79</v>
      </c>
      <c r="E74" s="42" t="s">
        <v>79</v>
      </c>
    </row>
    <row r="75">
      <c r="A75" s="41" t="s">
        <v>303</v>
      </c>
      <c r="B75" s="41"/>
      <c r="C75" s="42" t="s">
        <v>79</v>
      </c>
      <c r="D75" s="42" t="s">
        <v>79</v>
      </c>
      <c r="E75" s="42" t="s">
        <v>79</v>
      </c>
    </row>
    <row r="76">
      <c r="A76" s="41" t="s">
        <v>306</v>
      </c>
      <c r="B76" s="41"/>
      <c r="C76" s="42" t="s">
        <v>79</v>
      </c>
      <c r="D76" s="42" t="s">
        <v>79</v>
      </c>
      <c r="E76" s="42" t="s">
        <v>79</v>
      </c>
    </row>
    <row r="77">
      <c r="A77" s="41" t="s">
        <v>309</v>
      </c>
      <c r="B77" s="41"/>
      <c r="C77" s="42" t="s">
        <v>79</v>
      </c>
      <c r="D77" s="42" t="s">
        <v>79</v>
      </c>
      <c r="E77" s="42" t="s">
        <v>79</v>
      </c>
    </row>
    <row r="78">
      <c r="A78" s="41" t="s">
        <v>313</v>
      </c>
      <c r="B78" s="41"/>
      <c r="C78" s="42" t="s">
        <v>79</v>
      </c>
      <c r="D78" s="42" t="s">
        <v>79</v>
      </c>
      <c r="E78" s="42" t="s">
        <v>79</v>
      </c>
    </row>
    <row r="79">
      <c r="A79" s="41" t="s">
        <v>315</v>
      </c>
      <c r="B79" s="41"/>
      <c r="C79" s="42" t="s">
        <v>79</v>
      </c>
      <c r="D79" s="42" t="s">
        <v>79</v>
      </c>
      <c r="E79" s="42" t="s">
        <v>79</v>
      </c>
    </row>
    <row r="80">
      <c r="A80" s="41" t="s">
        <v>317</v>
      </c>
      <c r="B80" s="41"/>
      <c r="C80" s="42" t="s">
        <v>79</v>
      </c>
      <c r="D80" s="42" t="s">
        <v>79</v>
      </c>
      <c r="E80" s="42" t="s">
        <v>79</v>
      </c>
    </row>
    <row r="81">
      <c r="A81" s="41" t="s">
        <v>319</v>
      </c>
      <c r="B81" s="41"/>
      <c r="C81" s="42" t="s">
        <v>79</v>
      </c>
      <c r="D81" s="42" t="s">
        <v>79</v>
      </c>
      <c r="E81" s="42" t="s">
        <v>79</v>
      </c>
    </row>
    <row r="82">
      <c r="A82" s="41" t="s">
        <v>322</v>
      </c>
      <c r="B82" s="41"/>
      <c r="C82" s="42" t="s">
        <v>79</v>
      </c>
      <c r="D82" s="42" t="s">
        <v>79</v>
      </c>
      <c r="E82" s="42" t="s">
        <v>79</v>
      </c>
    </row>
    <row r="83">
      <c r="A83" s="41" t="s">
        <v>325</v>
      </c>
      <c r="B83" s="41"/>
      <c r="C83" s="42" t="s">
        <v>79</v>
      </c>
      <c r="D83" s="42" t="s">
        <v>79</v>
      </c>
      <c r="E83" s="42" t="s">
        <v>79</v>
      </c>
    </row>
    <row r="84">
      <c r="A84" s="41" t="s">
        <v>327</v>
      </c>
      <c r="B84" s="41"/>
      <c r="C84" s="42" t="s">
        <v>79</v>
      </c>
      <c r="D84" s="42" t="s">
        <v>79</v>
      </c>
      <c r="E84" s="42" t="s">
        <v>79</v>
      </c>
    </row>
    <row r="85">
      <c r="A85" s="41" t="s">
        <v>329</v>
      </c>
      <c r="B85" s="41"/>
      <c r="C85" s="42" t="s">
        <v>79</v>
      </c>
      <c r="D85" s="42" t="s">
        <v>79</v>
      </c>
      <c r="E85" s="42" t="s">
        <v>79</v>
      </c>
    </row>
    <row r="86">
      <c r="A86" s="41" t="s">
        <v>332</v>
      </c>
      <c r="B86" s="41"/>
      <c r="C86" s="42" t="s">
        <v>79</v>
      </c>
      <c r="D86" s="42" t="s">
        <v>79</v>
      </c>
      <c r="E86" s="42" t="s">
        <v>79</v>
      </c>
    </row>
    <row r="87">
      <c r="A87" s="41" t="s">
        <v>334</v>
      </c>
      <c r="B87" s="41"/>
      <c r="C87" s="42" t="s">
        <v>79</v>
      </c>
      <c r="D87" s="42" t="s">
        <v>79</v>
      </c>
      <c r="E87" s="42" t="s">
        <v>79</v>
      </c>
    </row>
    <row r="88">
      <c r="A88" s="41" t="s">
        <v>336</v>
      </c>
      <c r="B88" s="41"/>
      <c r="C88" s="42" t="s">
        <v>79</v>
      </c>
      <c r="D88" s="42" t="s">
        <v>79</v>
      </c>
      <c r="E88" s="42" t="s">
        <v>79</v>
      </c>
    </row>
    <row r="89">
      <c r="A89" s="41" t="s">
        <v>338</v>
      </c>
      <c r="B89" s="41"/>
      <c r="C89" s="42" t="s">
        <v>79</v>
      </c>
      <c r="D89" s="42" t="s">
        <v>79</v>
      </c>
      <c r="E89" s="42" t="s">
        <v>79</v>
      </c>
    </row>
    <row r="90">
      <c r="A90" s="41" t="s">
        <v>340</v>
      </c>
      <c r="B90" s="41"/>
      <c r="C90" s="42" t="s">
        <v>79</v>
      </c>
      <c r="D90" s="42" t="s">
        <v>79</v>
      </c>
      <c r="E90" s="42" t="s">
        <v>79</v>
      </c>
    </row>
    <row r="91">
      <c r="A91" s="41" t="s">
        <v>343</v>
      </c>
      <c r="B91" s="41"/>
      <c r="C91" s="42" t="s">
        <v>79</v>
      </c>
      <c r="D91" s="42" t="s">
        <v>79</v>
      </c>
      <c r="E91" s="42" t="s">
        <v>79</v>
      </c>
    </row>
    <row r="92">
      <c r="A92" s="41" t="s">
        <v>346</v>
      </c>
      <c r="B92" s="41"/>
      <c r="C92" s="42" t="s">
        <v>79</v>
      </c>
      <c r="D92" s="42" t="s">
        <v>79</v>
      </c>
      <c r="E92" s="42" t="s">
        <v>79</v>
      </c>
    </row>
    <row r="93">
      <c r="A93" s="41" t="s">
        <v>348</v>
      </c>
      <c r="B93" s="41"/>
      <c r="C93" s="42" t="s">
        <v>79</v>
      </c>
      <c r="D93" s="42" t="s">
        <v>79</v>
      </c>
      <c r="E93" s="42" t="s">
        <v>79</v>
      </c>
    </row>
    <row r="94">
      <c r="A94" s="41" t="s">
        <v>350</v>
      </c>
      <c r="B94" s="41"/>
      <c r="C94" s="42" t="s">
        <v>79</v>
      </c>
      <c r="D94" s="42" t="s">
        <v>79</v>
      </c>
      <c r="E94" s="42" t="s">
        <v>79</v>
      </c>
    </row>
    <row r="95">
      <c r="A95" s="41" t="s">
        <v>352</v>
      </c>
      <c r="B95" s="41"/>
      <c r="C95" s="42" t="s">
        <v>79</v>
      </c>
      <c r="D95" s="42" t="s">
        <v>79</v>
      </c>
      <c r="E95" s="42" t="s">
        <v>79</v>
      </c>
    </row>
    <row r="96">
      <c r="A96" s="41" t="s">
        <v>354</v>
      </c>
      <c r="B96" s="41"/>
      <c r="C96" s="42" t="s">
        <v>79</v>
      </c>
      <c r="D96" s="42" t="s">
        <v>79</v>
      </c>
      <c r="E96" s="42" t="s">
        <v>79</v>
      </c>
    </row>
    <row r="97">
      <c r="A97" s="41" t="s">
        <v>356</v>
      </c>
      <c r="B97" s="41"/>
      <c r="C97" s="42" t="s">
        <v>79</v>
      </c>
      <c r="D97" s="42" t="s">
        <v>79</v>
      </c>
      <c r="E97" s="42" t="s">
        <v>79</v>
      </c>
    </row>
    <row r="98">
      <c r="A98" s="41" t="s">
        <v>359</v>
      </c>
      <c r="B98" s="41"/>
      <c r="C98" s="42" t="s">
        <v>79</v>
      </c>
      <c r="D98" s="42" t="s">
        <v>79</v>
      </c>
      <c r="E98" s="42" t="s">
        <v>79</v>
      </c>
    </row>
    <row r="99">
      <c r="A99" s="41" t="s">
        <v>361</v>
      </c>
      <c r="B99" s="41"/>
      <c r="C99" s="42" t="s">
        <v>79</v>
      </c>
      <c r="D99" s="42" t="s">
        <v>79</v>
      </c>
      <c r="E99" s="42" t="s">
        <v>79</v>
      </c>
    </row>
    <row r="100">
      <c r="A100" s="41" t="s">
        <v>363</v>
      </c>
      <c r="B100" s="41"/>
      <c r="C100" s="42" t="s">
        <v>79</v>
      </c>
      <c r="D100" s="42" t="s">
        <v>79</v>
      </c>
      <c r="E100" s="42" t="s">
        <v>79</v>
      </c>
    </row>
    <row r="101">
      <c r="A101" s="41" t="s">
        <v>366</v>
      </c>
      <c r="B101" s="41"/>
      <c r="C101" s="42" t="s">
        <v>79</v>
      </c>
      <c r="D101" s="42" t="s">
        <v>79</v>
      </c>
      <c r="E101" s="42" t="s">
        <v>79</v>
      </c>
    </row>
    <row r="102">
      <c r="A102" s="41" t="s">
        <v>368</v>
      </c>
      <c r="B102" s="41"/>
      <c r="C102" s="42" t="s">
        <v>79</v>
      </c>
      <c r="D102" s="42" t="s">
        <v>79</v>
      </c>
      <c r="E102" s="42" t="s">
        <v>79</v>
      </c>
    </row>
    <row r="103">
      <c r="A103" s="41" t="s">
        <v>370</v>
      </c>
      <c r="B103" s="41"/>
      <c r="C103" s="42" t="s">
        <v>79</v>
      </c>
      <c r="D103" s="42" t="s">
        <v>79</v>
      </c>
      <c r="E103" s="42" t="s">
        <v>79</v>
      </c>
    </row>
    <row r="104">
      <c r="A104" s="41" t="s">
        <v>160</v>
      </c>
      <c r="B104" s="41"/>
      <c r="C104" s="42" t="s">
        <v>79</v>
      </c>
      <c r="D104" s="42" t="s">
        <v>79</v>
      </c>
      <c r="E104" s="42" t="s">
        <v>79</v>
      </c>
    </row>
    <row r="105">
      <c r="A105" s="41" t="s">
        <v>208</v>
      </c>
      <c r="B105" s="41"/>
      <c r="C105" s="42" t="s">
        <v>79</v>
      </c>
      <c r="D105" s="42" t="s">
        <v>79</v>
      </c>
      <c r="E105" s="42" t="s">
        <v>79</v>
      </c>
    </row>
    <row r="106">
      <c r="A106" s="41" t="s">
        <v>184</v>
      </c>
      <c r="B106" s="41"/>
      <c r="C106" s="42" t="s">
        <v>79</v>
      </c>
      <c r="D106" s="42" t="s">
        <v>79</v>
      </c>
      <c r="E106" s="42" t="s">
        <v>79</v>
      </c>
    </row>
    <row r="107">
      <c r="A107" s="41" t="s">
        <v>379</v>
      </c>
      <c r="B107" s="41"/>
      <c r="C107" s="42" t="s">
        <v>79</v>
      </c>
      <c r="D107" s="42" t="s">
        <v>79</v>
      </c>
      <c r="E107" s="42" t="s">
        <v>79</v>
      </c>
    </row>
    <row r="108">
      <c r="A108" s="41" t="s">
        <v>151</v>
      </c>
      <c r="B108" s="41"/>
      <c r="C108" s="42" t="s">
        <v>79</v>
      </c>
      <c r="D108" s="42" t="s">
        <v>79</v>
      </c>
      <c r="E108" s="42" t="s">
        <v>79</v>
      </c>
    </row>
    <row r="109">
      <c r="A109" s="41" t="s">
        <v>180</v>
      </c>
      <c r="B109" s="41"/>
      <c r="C109" s="42" t="s">
        <v>79</v>
      </c>
      <c r="D109" s="42" t="s">
        <v>79</v>
      </c>
      <c r="E109" s="42" t="s">
        <v>79</v>
      </c>
    </row>
    <row r="110">
      <c r="A110" s="41" t="s">
        <v>388</v>
      </c>
      <c r="B110" s="69"/>
      <c r="C110" s="42" t="s">
        <v>79</v>
      </c>
      <c r="D110" s="42" t="s">
        <v>79</v>
      </c>
      <c r="E110" s="42" t="s">
        <v>79</v>
      </c>
    </row>
    <row r="111">
      <c r="A111" s="41" t="s">
        <v>392</v>
      </c>
      <c r="B111" s="69"/>
      <c r="C111" s="42" t="s">
        <v>79</v>
      </c>
      <c r="D111" s="42" t="s">
        <v>79</v>
      </c>
      <c r="E111" s="42" t="s">
        <v>79</v>
      </c>
    </row>
    <row r="112">
      <c r="A112" s="41" t="s">
        <v>395</v>
      </c>
      <c r="B112" s="69"/>
      <c r="C112" s="42" t="s">
        <v>79</v>
      </c>
      <c r="D112" s="42" t="s">
        <v>79</v>
      </c>
      <c r="E112" s="42" t="s">
        <v>79</v>
      </c>
    </row>
    <row r="113">
      <c r="A113" s="41" t="s">
        <v>398</v>
      </c>
      <c r="B113" s="69"/>
      <c r="C113" s="42" t="s">
        <v>79</v>
      </c>
      <c r="D113" s="42" t="s">
        <v>79</v>
      </c>
      <c r="E113" s="42" t="s">
        <v>79</v>
      </c>
    </row>
    <row r="114">
      <c r="A114" s="41" t="s">
        <v>401</v>
      </c>
      <c r="B114" s="69"/>
      <c r="C114" s="42" t="s">
        <v>79</v>
      </c>
      <c r="D114" s="42" t="s">
        <v>79</v>
      </c>
      <c r="E114" s="42" t="s">
        <v>79</v>
      </c>
    </row>
    <row r="115">
      <c r="A115" s="41" t="s">
        <v>404</v>
      </c>
      <c r="B115" s="69"/>
      <c r="C115" s="42" t="s">
        <v>79</v>
      </c>
      <c r="D115" s="42" t="s">
        <v>79</v>
      </c>
      <c r="E115" s="42" t="s">
        <v>79</v>
      </c>
    </row>
    <row r="116">
      <c r="A116" s="41" t="s">
        <v>407</v>
      </c>
      <c r="B116" s="69"/>
      <c r="C116" s="42" t="s">
        <v>79</v>
      </c>
      <c r="D116" s="42" t="s">
        <v>79</v>
      </c>
      <c r="E116" s="42" t="s">
        <v>79</v>
      </c>
    </row>
    <row r="117">
      <c r="A117" s="41" t="s">
        <v>409</v>
      </c>
      <c r="B117" s="69"/>
      <c r="C117" s="42" t="s">
        <v>79</v>
      </c>
      <c r="D117" s="42" t="s">
        <v>79</v>
      </c>
      <c r="E117" s="42" t="s">
        <v>79</v>
      </c>
    </row>
    <row r="118">
      <c r="A118" s="41" t="s">
        <v>412</v>
      </c>
      <c r="B118" s="69"/>
      <c r="C118" s="42" t="s">
        <v>79</v>
      </c>
      <c r="D118" s="42" t="s">
        <v>79</v>
      </c>
      <c r="E118" s="42" t="s">
        <v>79</v>
      </c>
    </row>
    <row r="119">
      <c r="A119" s="41" t="s">
        <v>415</v>
      </c>
      <c r="B119" s="69"/>
      <c r="C119" s="42" t="s">
        <v>79</v>
      </c>
      <c r="D119" s="42" t="s">
        <v>79</v>
      </c>
      <c r="E119" s="42" t="s">
        <v>79</v>
      </c>
    </row>
    <row r="120">
      <c r="A120" s="41" t="s">
        <v>418</v>
      </c>
      <c r="B120" s="69"/>
      <c r="C120" s="42" t="s">
        <v>79</v>
      </c>
      <c r="D120" s="42" t="s">
        <v>79</v>
      </c>
      <c r="E120" s="42" t="s">
        <v>79</v>
      </c>
    </row>
    <row r="121">
      <c r="A121" s="41" t="s">
        <v>421</v>
      </c>
      <c r="B121" s="69"/>
      <c r="C121" s="42" t="s">
        <v>79</v>
      </c>
      <c r="D121" s="42" t="s">
        <v>79</v>
      </c>
      <c r="E121" s="42" t="s">
        <v>79</v>
      </c>
    </row>
    <row r="122">
      <c r="A122" s="41" t="s">
        <v>424</v>
      </c>
      <c r="B122" s="69"/>
      <c r="C122" s="42" t="s">
        <v>79</v>
      </c>
      <c r="D122" s="42" t="s">
        <v>79</v>
      </c>
      <c r="E122" s="42" t="s">
        <v>79</v>
      </c>
    </row>
    <row r="123">
      <c r="A123" s="41" t="s">
        <v>427</v>
      </c>
      <c r="B123" s="69"/>
      <c r="C123" s="42" t="s">
        <v>79</v>
      </c>
      <c r="D123" s="42" t="s">
        <v>79</v>
      </c>
      <c r="E123" s="42" t="s">
        <v>79</v>
      </c>
    </row>
    <row r="124">
      <c r="A124" s="41" t="s">
        <v>430</v>
      </c>
      <c r="B124" s="69"/>
      <c r="C124" s="42" t="s">
        <v>79</v>
      </c>
      <c r="D124" s="42" t="s">
        <v>79</v>
      </c>
      <c r="E124" s="42" t="s">
        <v>79</v>
      </c>
    </row>
    <row r="125">
      <c r="A125" s="41" t="s">
        <v>433</v>
      </c>
      <c r="B125" s="69"/>
      <c r="C125" s="42" t="s">
        <v>79</v>
      </c>
      <c r="D125" s="42" t="s">
        <v>79</v>
      </c>
      <c r="E125" s="42" t="s">
        <v>79</v>
      </c>
    </row>
    <row r="126">
      <c r="A126" s="41" t="s">
        <v>436</v>
      </c>
      <c r="B126" s="69"/>
      <c r="C126" s="42" t="s">
        <v>79</v>
      </c>
      <c r="D126" s="42" t="s">
        <v>79</v>
      </c>
      <c r="E126" s="42" t="s">
        <v>79</v>
      </c>
    </row>
    <row r="127">
      <c r="A127" s="41" t="s">
        <v>441</v>
      </c>
      <c r="B127" s="69"/>
      <c r="C127" s="42" t="s">
        <v>79</v>
      </c>
      <c r="D127" s="42" t="s">
        <v>79</v>
      </c>
      <c r="E127" s="42" t="s">
        <v>79</v>
      </c>
    </row>
    <row r="128">
      <c r="A128" s="41" t="s">
        <v>444</v>
      </c>
      <c r="B128" s="69"/>
      <c r="C128" s="42" t="s">
        <v>79</v>
      </c>
      <c r="D128" s="42" t="s">
        <v>79</v>
      </c>
      <c r="E128" s="42" t="s">
        <v>79</v>
      </c>
    </row>
    <row r="129">
      <c r="A129" s="41" t="s">
        <v>447</v>
      </c>
      <c r="B129" s="69"/>
      <c r="C129" s="42" t="s">
        <v>79</v>
      </c>
      <c r="D129" s="42" t="s">
        <v>79</v>
      </c>
      <c r="E129" s="42" t="s">
        <v>79</v>
      </c>
    </row>
    <row r="130">
      <c r="A130" s="41" t="s">
        <v>449</v>
      </c>
      <c r="B130" s="69"/>
      <c r="C130" s="42" t="s">
        <v>79</v>
      </c>
      <c r="D130" s="42" t="s">
        <v>79</v>
      </c>
      <c r="E130" s="42" t="s">
        <v>79</v>
      </c>
    </row>
    <row r="131">
      <c r="A131" s="41" t="s">
        <v>452</v>
      </c>
      <c r="B131" s="69"/>
      <c r="C131" s="42" t="s">
        <v>79</v>
      </c>
      <c r="D131" s="42" t="s">
        <v>79</v>
      </c>
      <c r="E131" s="42" t="s">
        <v>79</v>
      </c>
    </row>
    <row r="132">
      <c r="A132" s="41" t="s">
        <v>454</v>
      </c>
      <c r="B132" s="69"/>
      <c r="C132" s="42" t="s">
        <v>79</v>
      </c>
      <c r="D132" s="42" t="s">
        <v>79</v>
      </c>
      <c r="E132" s="42" t="s">
        <v>79</v>
      </c>
    </row>
    <row r="133">
      <c r="A133" s="41" t="s">
        <v>457</v>
      </c>
      <c r="B133" s="69"/>
      <c r="C133" s="42" t="s">
        <v>79</v>
      </c>
      <c r="D133" s="42" t="s">
        <v>79</v>
      </c>
      <c r="E133" s="42" t="s">
        <v>79</v>
      </c>
    </row>
    <row r="134">
      <c r="A134" s="41" t="s">
        <v>298</v>
      </c>
      <c r="B134" s="69"/>
      <c r="C134" s="42" t="s">
        <v>79</v>
      </c>
      <c r="D134" s="42" t="s">
        <v>79</v>
      </c>
      <c r="E134" s="42" t="s">
        <v>79</v>
      </c>
    </row>
    <row r="135">
      <c r="A135" s="12"/>
      <c r="B135" s="12"/>
      <c r="C135" s="60"/>
      <c r="D135" s="60"/>
      <c r="E135" s="60"/>
    </row>
    <row r="136">
      <c r="A136" s="12"/>
      <c r="B136" s="12"/>
      <c r="C136" s="60"/>
      <c r="D136" s="60"/>
      <c r="E136" s="60"/>
    </row>
    <row r="137">
      <c r="A137" s="12"/>
      <c r="B137" s="12"/>
      <c r="C137" s="60"/>
      <c r="D137" s="60"/>
      <c r="E137" s="60"/>
    </row>
    <row r="138">
      <c r="A138" s="12"/>
      <c r="B138" s="12"/>
      <c r="C138" s="60"/>
      <c r="D138" s="60"/>
      <c r="E138" s="60"/>
    </row>
    <row r="139">
      <c r="A139" s="12"/>
      <c r="B139" s="12"/>
      <c r="C139" s="60"/>
      <c r="D139" s="60"/>
      <c r="E139" s="60"/>
    </row>
    <row r="140">
      <c r="A140" s="12"/>
      <c r="B140" s="12"/>
      <c r="C140" s="60"/>
      <c r="D140" s="60"/>
      <c r="E140" s="60"/>
    </row>
    <row r="141">
      <c r="A141" s="12"/>
      <c r="B141" s="12"/>
      <c r="C141" s="60"/>
      <c r="D141" s="60"/>
      <c r="E141" s="60"/>
    </row>
    <row r="142">
      <c r="A142" s="12"/>
      <c r="B142" s="12"/>
      <c r="C142" s="60"/>
      <c r="D142" s="60"/>
      <c r="E142" s="60"/>
    </row>
    <row r="143">
      <c r="A143" s="12"/>
      <c r="B143" s="12"/>
      <c r="C143" s="60"/>
      <c r="D143" s="60"/>
      <c r="E143" s="60"/>
    </row>
    <row r="144">
      <c r="A144" s="12"/>
      <c r="B144" s="12"/>
      <c r="C144" s="60"/>
      <c r="D144" s="60"/>
      <c r="E144" s="60"/>
    </row>
    <row r="145">
      <c r="A145" s="12"/>
      <c r="B145" s="12"/>
      <c r="C145" s="60"/>
      <c r="D145" s="60"/>
      <c r="E145" s="60"/>
    </row>
    <row r="146">
      <c r="A146" s="12"/>
      <c r="B146" s="12"/>
      <c r="C146" s="60"/>
      <c r="D146" s="60"/>
      <c r="E146" s="60"/>
    </row>
    <row r="147">
      <c r="A147" s="12"/>
      <c r="B147" s="12"/>
      <c r="C147" s="60"/>
      <c r="D147" s="60"/>
      <c r="E147" s="60"/>
    </row>
    <row r="148">
      <c r="A148" s="12"/>
      <c r="B148" s="12"/>
      <c r="C148" s="60"/>
      <c r="D148" s="60"/>
      <c r="E148" s="60"/>
    </row>
    <row r="149">
      <c r="A149" s="12"/>
      <c r="B149" s="12"/>
      <c r="C149" s="60"/>
      <c r="D149" s="60"/>
      <c r="E149" s="60"/>
    </row>
    <row r="150">
      <c r="A150" s="12"/>
      <c r="B150" s="12"/>
      <c r="C150" s="60"/>
      <c r="D150" s="60"/>
      <c r="E150" s="60"/>
    </row>
    <row r="151">
      <c r="A151" s="12"/>
      <c r="B151" s="12"/>
      <c r="C151" s="60"/>
      <c r="D151" s="60"/>
      <c r="E151" s="60"/>
    </row>
    <row r="152">
      <c r="A152" s="12"/>
      <c r="B152" s="12"/>
      <c r="C152" s="60"/>
      <c r="D152" s="60"/>
      <c r="E152" s="60"/>
    </row>
    <row r="153">
      <c r="A153" s="12"/>
      <c r="B153" s="12"/>
      <c r="C153" s="60"/>
      <c r="D153" s="60"/>
      <c r="E153" s="60"/>
    </row>
    <row r="154">
      <c r="A154" s="12"/>
      <c r="B154" s="12"/>
      <c r="C154" s="60"/>
      <c r="D154" s="60"/>
      <c r="E154" s="60"/>
    </row>
    <row r="155">
      <c r="A155" s="12"/>
      <c r="B155" s="12"/>
      <c r="C155" s="60"/>
      <c r="D155" s="60"/>
      <c r="E155" s="60"/>
    </row>
    <row r="156">
      <c r="A156" s="12"/>
      <c r="B156" s="12"/>
      <c r="C156" s="60"/>
      <c r="D156" s="60"/>
      <c r="E156" s="60"/>
    </row>
    <row r="157">
      <c r="A157" s="12"/>
      <c r="B157" s="12"/>
      <c r="C157" s="60"/>
      <c r="D157" s="60"/>
      <c r="E157" s="60"/>
    </row>
    <row r="158">
      <c r="A158" s="12"/>
      <c r="B158" s="12"/>
      <c r="C158" s="60"/>
      <c r="D158" s="60"/>
      <c r="E158" s="60"/>
    </row>
    <row r="159">
      <c r="A159" s="12"/>
      <c r="B159" s="12"/>
      <c r="C159" s="60"/>
      <c r="D159" s="60"/>
      <c r="E159" s="60"/>
    </row>
    <row r="160">
      <c r="A160" s="12"/>
      <c r="B160" s="12"/>
      <c r="C160" s="60"/>
      <c r="D160" s="60"/>
      <c r="E160" s="60"/>
    </row>
    <row r="161">
      <c r="A161" s="12"/>
      <c r="B161" s="12"/>
      <c r="C161" s="60"/>
      <c r="D161" s="60"/>
      <c r="E161" s="60"/>
    </row>
    <row r="162">
      <c r="A162" s="12"/>
      <c r="B162" s="12"/>
      <c r="C162" s="60"/>
      <c r="D162" s="60"/>
      <c r="E162" s="60"/>
    </row>
    <row r="163">
      <c r="A163" s="12"/>
      <c r="B163" s="12"/>
      <c r="C163" s="60"/>
      <c r="D163" s="60"/>
      <c r="E163" s="60"/>
    </row>
    <row r="164">
      <c r="A164" s="12"/>
      <c r="B164" s="12"/>
      <c r="C164" s="60"/>
      <c r="D164" s="60"/>
      <c r="E164" s="60"/>
    </row>
    <row r="165">
      <c r="A165" s="12"/>
      <c r="B165" s="12"/>
      <c r="C165" s="60"/>
      <c r="D165" s="60"/>
      <c r="E165" s="60"/>
    </row>
    <row r="166">
      <c r="A166" s="12"/>
      <c r="B166" s="12"/>
      <c r="C166" s="60"/>
      <c r="D166" s="60"/>
      <c r="E166" s="60"/>
    </row>
    <row r="167">
      <c r="A167" s="12"/>
      <c r="B167" s="12"/>
      <c r="C167" s="60"/>
      <c r="D167" s="60"/>
      <c r="E167" s="60"/>
    </row>
    <row r="168">
      <c r="A168" s="12"/>
      <c r="B168" s="12"/>
      <c r="C168" s="60"/>
      <c r="D168" s="60"/>
      <c r="E168" s="60"/>
    </row>
    <row r="169">
      <c r="A169" s="12"/>
      <c r="B169" s="12"/>
      <c r="C169" s="60"/>
      <c r="D169" s="60"/>
      <c r="E169" s="60"/>
    </row>
    <row r="170">
      <c r="A170" s="12"/>
      <c r="B170" s="12"/>
      <c r="C170" s="60"/>
      <c r="D170" s="60"/>
      <c r="E170" s="60"/>
    </row>
    <row r="171">
      <c r="A171" s="12"/>
      <c r="B171" s="12"/>
      <c r="C171" s="60"/>
      <c r="D171" s="60"/>
      <c r="E171" s="60"/>
    </row>
    <row r="172">
      <c r="A172" s="12"/>
      <c r="B172" s="12"/>
      <c r="C172" s="60"/>
      <c r="D172" s="60"/>
      <c r="E172" s="60"/>
    </row>
    <row r="173">
      <c r="A173" s="12"/>
      <c r="B173" s="12"/>
      <c r="C173" s="60"/>
      <c r="D173" s="60"/>
      <c r="E173" s="60"/>
    </row>
    <row r="174">
      <c r="A174" s="12"/>
      <c r="B174" s="12"/>
      <c r="C174" s="60"/>
      <c r="D174" s="60"/>
      <c r="E174" s="60"/>
    </row>
    <row r="175">
      <c r="A175" s="12"/>
      <c r="B175" s="12"/>
      <c r="C175" s="60"/>
      <c r="D175" s="60"/>
      <c r="E175" s="60"/>
    </row>
    <row r="176">
      <c r="A176" s="12"/>
      <c r="B176" s="12"/>
      <c r="C176" s="60"/>
      <c r="D176" s="60"/>
      <c r="E176" s="60"/>
    </row>
    <row r="177">
      <c r="A177" s="12"/>
      <c r="B177" s="12"/>
      <c r="C177" s="60"/>
      <c r="D177" s="60"/>
      <c r="E177" s="60"/>
    </row>
    <row r="178">
      <c r="A178" s="12"/>
      <c r="B178" s="12"/>
      <c r="C178" s="60"/>
      <c r="D178" s="60"/>
      <c r="E178" s="60"/>
    </row>
    <row r="179">
      <c r="A179" s="12"/>
      <c r="B179" s="12"/>
      <c r="C179" s="60"/>
      <c r="D179" s="60"/>
      <c r="E179" s="60"/>
    </row>
    <row r="180">
      <c r="A180" s="12"/>
      <c r="B180" s="12"/>
      <c r="C180" s="60"/>
      <c r="D180" s="60"/>
      <c r="E180" s="60"/>
    </row>
    <row r="181">
      <c r="A181" s="12"/>
      <c r="B181" s="12"/>
      <c r="C181" s="60"/>
      <c r="D181" s="60"/>
      <c r="E181" s="60"/>
    </row>
    <row r="182">
      <c r="A182" s="12"/>
      <c r="B182" s="12"/>
      <c r="C182" s="60"/>
      <c r="D182" s="60"/>
      <c r="E182" s="60"/>
    </row>
    <row r="183">
      <c r="A183" s="12"/>
      <c r="B183" s="12"/>
      <c r="C183" s="60"/>
      <c r="D183" s="60"/>
      <c r="E183" s="60"/>
    </row>
    <row r="184">
      <c r="A184" s="12"/>
      <c r="B184" s="12"/>
      <c r="C184" s="60"/>
      <c r="D184" s="60"/>
      <c r="E184" s="60"/>
    </row>
    <row r="185">
      <c r="A185" s="12"/>
      <c r="B185" s="12"/>
      <c r="C185" s="60"/>
      <c r="D185" s="60"/>
      <c r="E185" s="60"/>
    </row>
    <row r="186">
      <c r="A186" s="12"/>
      <c r="B186" s="12"/>
      <c r="C186" s="60"/>
      <c r="D186" s="60"/>
      <c r="E186" s="60"/>
    </row>
    <row r="187">
      <c r="A187" s="12"/>
      <c r="B187" s="12"/>
      <c r="C187" s="60"/>
      <c r="D187" s="60"/>
      <c r="E187" s="60"/>
    </row>
    <row r="188">
      <c r="A188" s="12"/>
      <c r="B188" s="12"/>
      <c r="C188" s="60"/>
      <c r="D188" s="60"/>
      <c r="E188" s="60"/>
    </row>
    <row r="189">
      <c r="A189" s="12"/>
      <c r="B189" s="12"/>
      <c r="C189" s="60"/>
      <c r="D189" s="60"/>
      <c r="E189" s="60"/>
    </row>
    <row r="190">
      <c r="A190" s="12"/>
      <c r="B190" s="12"/>
      <c r="C190" s="60"/>
      <c r="D190" s="60"/>
      <c r="E190" s="60"/>
    </row>
    <row r="191">
      <c r="A191" s="12"/>
      <c r="B191" s="12"/>
      <c r="C191" s="60"/>
      <c r="D191" s="60"/>
      <c r="E191" s="60"/>
    </row>
    <row r="192">
      <c r="A192" s="12"/>
      <c r="B192" s="12"/>
      <c r="C192" s="60"/>
      <c r="D192" s="60"/>
      <c r="E192" s="60"/>
    </row>
    <row r="193">
      <c r="A193" s="12"/>
      <c r="B193" s="12"/>
      <c r="C193" s="60"/>
      <c r="D193" s="60"/>
      <c r="E193" s="60"/>
    </row>
    <row r="194">
      <c r="A194" s="12"/>
      <c r="B194" s="12"/>
      <c r="C194" s="60"/>
      <c r="D194" s="60"/>
      <c r="E194" s="60"/>
    </row>
    <row r="195">
      <c r="A195" s="12"/>
      <c r="B195" s="12"/>
      <c r="C195" s="60"/>
      <c r="D195" s="60"/>
      <c r="E195" s="60"/>
    </row>
    <row r="196">
      <c r="A196" s="12"/>
      <c r="B196" s="12"/>
      <c r="C196" s="60"/>
      <c r="D196" s="60"/>
      <c r="E196" s="60"/>
    </row>
    <row r="197">
      <c r="A197" s="12"/>
      <c r="B197" s="12"/>
      <c r="C197" s="60"/>
      <c r="D197" s="60"/>
      <c r="E197" s="60"/>
    </row>
    <row r="198">
      <c r="A198" s="12"/>
      <c r="B198" s="12"/>
      <c r="C198" s="60"/>
      <c r="D198" s="60"/>
      <c r="E198" s="60"/>
    </row>
    <row r="199">
      <c r="A199" s="12"/>
      <c r="B199" s="12"/>
      <c r="C199" s="60"/>
      <c r="D199" s="60"/>
      <c r="E199" s="60"/>
    </row>
    <row r="200">
      <c r="A200" s="12"/>
      <c r="B200" s="12"/>
      <c r="C200" s="60"/>
      <c r="D200" s="60"/>
      <c r="E200" s="60"/>
    </row>
    <row r="201">
      <c r="A201" s="12"/>
      <c r="B201" s="12"/>
      <c r="C201" s="60"/>
      <c r="D201" s="60"/>
      <c r="E201" s="60"/>
    </row>
    <row r="202">
      <c r="A202" s="12"/>
      <c r="B202" s="12"/>
      <c r="C202" s="60"/>
      <c r="D202" s="60"/>
      <c r="E202" s="60"/>
    </row>
    <row r="203">
      <c r="A203" s="12"/>
      <c r="B203" s="12"/>
      <c r="C203" s="60"/>
      <c r="D203" s="60"/>
      <c r="E203" s="60"/>
    </row>
    <row r="204">
      <c r="A204" s="12"/>
      <c r="B204" s="12"/>
      <c r="C204" s="60"/>
      <c r="D204" s="60"/>
      <c r="E204" s="60"/>
    </row>
    <row r="205">
      <c r="A205" s="12"/>
      <c r="B205" s="12"/>
      <c r="C205" s="60"/>
      <c r="D205" s="60"/>
      <c r="E205" s="60"/>
    </row>
    <row r="206">
      <c r="A206" s="12"/>
      <c r="B206" s="12"/>
      <c r="C206" s="60"/>
      <c r="D206" s="60"/>
      <c r="E206" s="60"/>
    </row>
    <row r="207">
      <c r="A207" s="12"/>
      <c r="B207" s="12"/>
      <c r="C207" s="60"/>
      <c r="D207" s="60"/>
      <c r="E207" s="60"/>
    </row>
    <row r="208">
      <c r="A208" s="12"/>
      <c r="B208" s="12"/>
      <c r="C208" s="60"/>
      <c r="D208" s="60"/>
      <c r="E208" s="60"/>
    </row>
    <row r="209">
      <c r="A209" s="12"/>
      <c r="B209" s="12"/>
      <c r="C209" s="60"/>
      <c r="D209" s="60"/>
      <c r="E209" s="60"/>
    </row>
    <row r="210">
      <c r="A210" s="12"/>
      <c r="B210" s="12"/>
      <c r="C210" s="60"/>
      <c r="D210" s="60"/>
      <c r="E210" s="60"/>
    </row>
    <row r="211">
      <c r="A211" s="12"/>
      <c r="B211" s="12"/>
      <c r="C211" s="60"/>
      <c r="D211" s="60"/>
      <c r="E211" s="60"/>
    </row>
    <row r="212">
      <c r="A212" s="12"/>
      <c r="B212" s="12"/>
      <c r="C212" s="60"/>
      <c r="D212" s="60"/>
      <c r="E212" s="60"/>
    </row>
    <row r="213">
      <c r="A213" s="12"/>
      <c r="B213" s="12"/>
      <c r="C213" s="60"/>
      <c r="D213" s="60"/>
      <c r="E213" s="60"/>
    </row>
    <row r="214">
      <c r="A214" s="12"/>
      <c r="B214" s="12"/>
      <c r="C214" s="60"/>
      <c r="D214" s="60"/>
      <c r="E214" s="60"/>
    </row>
    <row r="215">
      <c r="A215" s="12"/>
      <c r="B215" s="12"/>
      <c r="C215" s="60"/>
      <c r="D215" s="60"/>
      <c r="E215" s="60"/>
    </row>
    <row r="216">
      <c r="A216" s="12"/>
      <c r="B216" s="12"/>
      <c r="C216" s="60"/>
      <c r="D216" s="60"/>
      <c r="E216" s="60"/>
    </row>
    <row r="217">
      <c r="A217" s="12"/>
      <c r="B217" s="12"/>
      <c r="C217" s="60"/>
      <c r="D217" s="60"/>
      <c r="E217" s="60"/>
    </row>
    <row r="218">
      <c r="A218" s="12"/>
      <c r="B218" s="12"/>
      <c r="C218" s="60"/>
      <c r="D218" s="60"/>
      <c r="E218" s="60"/>
    </row>
    <row r="219">
      <c r="A219" s="12"/>
      <c r="B219" s="12"/>
      <c r="C219" s="60"/>
      <c r="D219" s="60"/>
      <c r="E219" s="60"/>
    </row>
    <row r="220">
      <c r="A220" s="12"/>
      <c r="B220" s="12"/>
      <c r="C220" s="60"/>
      <c r="D220" s="60"/>
      <c r="E220" s="60"/>
    </row>
    <row r="221">
      <c r="A221" s="12"/>
      <c r="B221" s="12"/>
      <c r="C221" s="60"/>
      <c r="D221" s="60"/>
      <c r="E221" s="60"/>
    </row>
    <row r="222">
      <c r="A222" s="12"/>
      <c r="B222" s="12"/>
      <c r="C222" s="60"/>
      <c r="D222" s="60"/>
      <c r="E222" s="60"/>
    </row>
    <row r="223">
      <c r="A223" s="12"/>
      <c r="B223" s="12"/>
      <c r="C223" s="60"/>
      <c r="D223" s="60"/>
      <c r="E223" s="60"/>
    </row>
    <row r="224">
      <c r="A224" s="12"/>
      <c r="B224" s="12"/>
      <c r="C224" s="60"/>
      <c r="D224" s="60"/>
      <c r="E224" s="60"/>
    </row>
    <row r="225">
      <c r="A225" s="12"/>
      <c r="B225" s="12"/>
      <c r="C225" s="60"/>
      <c r="D225" s="60"/>
      <c r="E225" s="60"/>
    </row>
    <row r="226">
      <c r="A226" s="12"/>
      <c r="B226" s="12"/>
      <c r="C226" s="60"/>
      <c r="D226" s="60"/>
      <c r="E226" s="60"/>
    </row>
    <row r="227">
      <c r="A227" s="12"/>
      <c r="B227" s="12"/>
      <c r="C227" s="60"/>
      <c r="D227" s="60"/>
      <c r="E227" s="60"/>
    </row>
    <row r="228">
      <c r="A228" s="12"/>
      <c r="B228" s="12"/>
      <c r="C228" s="60"/>
      <c r="D228" s="60"/>
      <c r="E228" s="60"/>
    </row>
    <row r="229">
      <c r="A229" s="12"/>
      <c r="B229" s="12"/>
      <c r="C229" s="60"/>
      <c r="D229" s="60"/>
      <c r="E229" s="60"/>
    </row>
    <row r="230">
      <c r="A230" s="12"/>
      <c r="B230" s="12"/>
      <c r="C230" s="60"/>
      <c r="D230" s="60"/>
      <c r="E230" s="60"/>
    </row>
    <row r="231">
      <c r="A231" s="12"/>
      <c r="B231" s="12"/>
      <c r="C231" s="60"/>
      <c r="D231" s="60"/>
      <c r="E231" s="60"/>
    </row>
    <row r="232">
      <c r="A232" s="12"/>
      <c r="B232" s="12"/>
      <c r="C232" s="60"/>
      <c r="D232" s="60"/>
      <c r="E232" s="60"/>
    </row>
    <row r="233">
      <c r="A233" s="12"/>
      <c r="B233" s="12"/>
      <c r="C233" s="60"/>
      <c r="D233" s="60"/>
      <c r="E233" s="60"/>
    </row>
    <row r="234">
      <c r="A234" s="12"/>
      <c r="B234" s="12"/>
      <c r="C234" s="60"/>
      <c r="D234" s="60"/>
      <c r="E234" s="60"/>
    </row>
    <row r="235">
      <c r="A235" s="12"/>
      <c r="B235" s="12"/>
      <c r="C235" s="60"/>
      <c r="D235" s="60"/>
      <c r="E235" s="60"/>
    </row>
    <row r="236">
      <c r="A236" s="12"/>
      <c r="B236" s="12"/>
      <c r="C236" s="60"/>
      <c r="D236" s="60"/>
      <c r="E236" s="60"/>
    </row>
    <row r="237">
      <c r="A237" s="12"/>
      <c r="B237" s="12"/>
      <c r="C237" s="60"/>
      <c r="D237" s="60"/>
      <c r="E237" s="60"/>
    </row>
    <row r="238">
      <c r="A238" s="12"/>
      <c r="B238" s="12"/>
      <c r="C238" s="60"/>
      <c r="D238" s="60"/>
      <c r="E238" s="60"/>
    </row>
    <row r="239">
      <c r="A239" s="12"/>
      <c r="B239" s="12"/>
      <c r="C239" s="60"/>
      <c r="D239" s="60"/>
      <c r="E239" s="60"/>
    </row>
    <row r="240">
      <c r="A240" s="12"/>
      <c r="B240" s="12"/>
      <c r="C240" s="60"/>
      <c r="D240" s="60"/>
      <c r="E240" s="60"/>
    </row>
    <row r="241">
      <c r="A241" s="12"/>
      <c r="B241" s="12"/>
      <c r="C241" s="60"/>
      <c r="D241" s="60"/>
      <c r="E241" s="60"/>
    </row>
    <row r="242">
      <c r="A242" s="12"/>
      <c r="B242" s="12"/>
      <c r="C242" s="60"/>
      <c r="D242" s="60"/>
      <c r="E242" s="60"/>
    </row>
    <row r="243">
      <c r="A243" s="12"/>
      <c r="B243" s="12"/>
      <c r="C243" s="60"/>
      <c r="D243" s="60"/>
      <c r="E243" s="60"/>
    </row>
    <row r="244">
      <c r="A244" s="12"/>
      <c r="B244" s="12"/>
      <c r="C244" s="60"/>
      <c r="D244" s="60"/>
      <c r="E244" s="60"/>
    </row>
    <row r="245">
      <c r="A245" s="12"/>
      <c r="B245" s="12"/>
      <c r="C245" s="60"/>
      <c r="D245" s="60"/>
      <c r="E245" s="60"/>
    </row>
    <row r="246">
      <c r="A246" s="12"/>
      <c r="B246" s="12"/>
      <c r="C246" s="60"/>
      <c r="D246" s="60"/>
      <c r="E246" s="60"/>
    </row>
    <row r="247">
      <c r="A247" s="12"/>
      <c r="B247" s="12"/>
      <c r="C247" s="60"/>
      <c r="D247" s="60"/>
      <c r="E247" s="60"/>
    </row>
    <row r="248">
      <c r="A248" s="12"/>
      <c r="B248" s="12"/>
      <c r="C248" s="60"/>
      <c r="D248" s="60"/>
      <c r="E248" s="60"/>
    </row>
    <row r="249">
      <c r="A249" s="12"/>
      <c r="B249" s="12"/>
      <c r="C249" s="60"/>
      <c r="D249" s="60"/>
      <c r="E249" s="60"/>
    </row>
    <row r="250">
      <c r="A250" s="12"/>
      <c r="B250" s="12"/>
      <c r="C250" s="60"/>
      <c r="D250" s="60"/>
      <c r="E250" s="60"/>
    </row>
    <row r="251">
      <c r="A251" s="12"/>
      <c r="B251" s="12"/>
      <c r="C251" s="60"/>
      <c r="D251" s="60"/>
      <c r="E251" s="60"/>
    </row>
    <row r="252">
      <c r="A252" s="12"/>
      <c r="B252" s="12"/>
      <c r="C252" s="60"/>
      <c r="D252" s="60"/>
      <c r="E252" s="60"/>
    </row>
    <row r="253">
      <c r="A253" s="12"/>
      <c r="B253" s="12"/>
      <c r="C253" s="60"/>
      <c r="D253" s="60"/>
      <c r="E253" s="60"/>
    </row>
    <row r="254">
      <c r="A254" s="12"/>
      <c r="B254" s="12"/>
      <c r="C254" s="60"/>
      <c r="D254" s="60"/>
      <c r="E254" s="60"/>
    </row>
    <row r="255">
      <c r="A255" s="12"/>
      <c r="B255" s="12"/>
      <c r="C255" s="60"/>
      <c r="D255" s="60"/>
      <c r="E255" s="60"/>
    </row>
    <row r="256">
      <c r="A256" s="12"/>
      <c r="B256" s="12"/>
      <c r="C256" s="60"/>
      <c r="D256" s="60"/>
      <c r="E256" s="60"/>
    </row>
    <row r="257">
      <c r="A257" s="12"/>
      <c r="B257" s="12"/>
      <c r="C257" s="60"/>
      <c r="D257" s="60"/>
      <c r="E257" s="60"/>
    </row>
    <row r="258">
      <c r="A258" s="12"/>
      <c r="B258" s="12"/>
      <c r="C258" s="60"/>
      <c r="D258" s="60"/>
      <c r="E258" s="60"/>
    </row>
    <row r="259">
      <c r="A259" s="12"/>
      <c r="B259" s="12"/>
      <c r="C259" s="60"/>
      <c r="D259" s="60"/>
      <c r="E259" s="60"/>
    </row>
    <row r="260">
      <c r="A260" s="12"/>
      <c r="B260" s="12"/>
      <c r="C260" s="60"/>
      <c r="D260" s="60"/>
      <c r="E260" s="60"/>
    </row>
    <row r="261">
      <c r="A261" s="12"/>
      <c r="B261" s="12"/>
      <c r="C261" s="60"/>
      <c r="D261" s="60"/>
      <c r="E261" s="60"/>
    </row>
    <row r="262">
      <c r="A262" s="12"/>
      <c r="B262" s="12"/>
      <c r="C262" s="60"/>
      <c r="D262" s="60"/>
      <c r="E262" s="60"/>
    </row>
    <row r="263">
      <c r="A263" s="12"/>
      <c r="B263" s="12"/>
      <c r="C263" s="60"/>
      <c r="D263" s="60"/>
      <c r="E263" s="60"/>
    </row>
    <row r="264">
      <c r="A264" s="12"/>
      <c r="B264" s="12"/>
      <c r="C264" s="60"/>
      <c r="D264" s="60"/>
      <c r="E264" s="60"/>
    </row>
    <row r="265">
      <c r="A265" s="12"/>
      <c r="B265" s="12"/>
      <c r="C265" s="60"/>
      <c r="D265" s="60"/>
      <c r="E265" s="60"/>
    </row>
    <row r="266">
      <c r="A266" s="12"/>
      <c r="B266" s="12"/>
      <c r="C266" s="60"/>
      <c r="D266" s="60"/>
      <c r="E266" s="60"/>
    </row>
    <row r="267">
      <c r="A267" s="12"/>
      <c r="B267" s="12"/>
      <c r="C267" s="60"/>
      <c r="D267" s="60"/>
      <c r="E267" s="60"/>
    </row>
    <row r="268">
      <c r="A268" s="12"/>
      <c r="B268" s="12"/>
      <c r="C268" s="60"/>
      <c r="D268" s="60"/>
      <c r="E268" s="60"/>
    </row>
    <row r="269">
      <c r="A269" s="12"/>
      <c r="B269" s="12"/>
      <c r="C269" s="60"/>
      <c r="D269" s="60"/>
      <c r="E269" s="60"/>
    </row>
    <row r="270">
      <c r="A270" s="12"/>
      <c r="B270" s="12"/>
      <c r="C270" s="60"/>
      <c r="D270" s="60"/>
      <c r="E270" s="60"/>
    </row>
    <row r="271">
      <c r="A271" s="12"/>
      <c r="B271" s="12"/>
      <c r="C271" s="60"/>
      <c r="D271" s="60"/>
      <c r="E271" s="60"/>
    </row>
    <row r="272">
      <c r="A272" s="12"/>
      <c r="B272" s="12"/>
      <c r="C272" s="60"/>
      <c r="D272" s="60"/>
      <c r="E272" s="60"/>
    </row>
    <row r="273">
      <c r="A273" s="12"/>
      <c r="B273" s="12"/>
      <c r="C273" s="60"/>
      <c r="D273" s="60"/>
      <c r="E273" s="60"/>
    </row>
    <row r="274">
      <c r="A274" s="12"/>
      <c r="B274" s="12"/>
      <c r="C274" s="60"/>
      <c r="D274" s="60"/>
      <c r="E274" s="60"/>
    </row>
    <row r="275">
      <c r="A275" s="12"/>
      <c r="B275" s="12"/>
      <c r="C275" s="60"/>
      <c r="D275" s="60"/>
      <c r="E275" s="60"/>
    </row>
    <row r="276">
      <c r="A276" s="12"/>
      <c r="B276" s="12"/>
      <c r="C276" s="60"/>
      <c r="D276" s="60"/>
      <c r="E276" s="60"/>
    </row>
    <row r="277">
      <c r="A277" s="12"/>
      <c r="B277" s="12"/>
      <c r="C277" s="60"/>
      <c r="D277" s="60"/>
      <c r="E277" s="60"/>
    </row>
    <row r="278">
      <c r="A278" s="12"/>
      <c r="B278" s="12"/>
      <c r="C278" s="60"/>
      <c r="D278" s="60"/>
      <c r="E278" s="60"/>
    </row>
    <row r="279">
      <c r="A279" s="12"/>
      <c r="B279" s="12"/>
      <c r="C279" s="60"/>
      <c r="D279" s="60"/>
      <c r="E279" s="60"/>
    </row>
    <row r="280">
      <c r="A280" s="12"/>
      <c r="B280" s="12"/>
      <c r="C280" s="60"/>
      <c r="D280" s="60"/>
      <c r="E280" s="60"/>
    </row>
    <row r="281">
      <c r="A281" s="12"/>
      <c r="B281" s="12"/>
      <c r="C281" s="60"/>
      <c r="D281" s="60"/>
      <c r="E281" s="60"/>
    </row>
    <row r="282">
      <c r="A282" s="12"/>
      <c r="B282" s="12"/>
      <c r="C282" s="60"/>
      <c r="D282" s="60"/>
      <c r="E282" s="60"/>
    </row>
    <row r="283">
      <c r="A283" s="12"/>
      <c r="B283" s="12"/>
      <c r="C283" s="60"/>
      <c r="D283" s="60"/>
      <c r="E283" s="60"/>
    </row>
    <row r="284">
      <c r="A284" s="12"/>
      <c r="B284" s="12"/>
      <c r="C284" s="60"/>
      <c r="D284" s="60"/>
      <c r="E284" s="60"/>
    </row>
    <row r="285">
      <c r="A285" s="12"/>
      <c r="B285" s="12"/>
      <c r="C285" s="60"/>
      <c r="D285" s="60"/>
      <c r="E285" s="60"/>
    </row>
    <row r="286">
      <c r="A286" s="12"/>
      <c r="B286" s="12"/>
      <c r="C286" s="60"/>
      <c r="D286" s="60"/>
      <c r="E286" s="60"/>
    </row>
    <row r="287">
      <c r="A287" s="12"/>
      <c r="B287" s="12"/>
      <c r="C287" s="60"/>
      <c r="D287" s="60"/>
      <c r="E287" s="60"/>
    </row>
    <row r="288">
      <c r="A288" s="12"/>
      <c r="B288" s="12"/>
      <c r="C288" s="60"/>
      <c r="D288" s="60"/>
      <c r="E288" s="60"/>
    </row>
    <row r="289">
      <c r="A289" s="12"/>
      <c r="B289" s="12"/>
      <c r="C289" s="60"/>
      <c r="D289" s="60"/>
      <c r="E289" s="60"/>
    </row>
    <row r="290">
      <c r="A290" s="12"/>
      <c r="B290" s="12"/>
      <c r="C290" s="60"/>
      <c r="D290" s="60"/>
      <c r="E290" s="60"/>
    </row>
    <row r="291">
      <c r="A291" s="12"/>
      <c r="B291" s="12"/>
      <c r="C291" s="60"/>
      <c r="D291" s="60"/>
      <c r="E291" s="60"/>
    </row>
    <row r="292">
      <c r="A292" s="12"/>
      <c r="B292" s="12"/>
      <c r="C292" s="60"/>
      <c r="D292" s="60"/>
      <c r="E292" s="60"/>
    </row>
    <row r="293">
      <c r="A293" s="12"/>
      <c r="B293" s="12"/>
      <c r="C293" s="60"/>
      <c r="D293" s="60"/>
      <c r="E293" s="60"/>
    </row>
    <row r="294">
      <c r="A294" s="12"/>
      <c r="B294" s="12"/>
      <c r="C294" s="60"/>
      <c r="D294" s="60"/>
      <c r="E294" s="60"/>
    </row>
    <row r="295">
      <c r="A295" s="12"/>
      <c r="B295" s="12"/>
      <c r="C295" s="60"/>
      <c r="D295" s="60"/>
      <c r="E295" s="60"/>
    </row>
    <row r="296">
      <c r="A296" s="12"/>
      <c r="B296" s="12"/>
      <c r="C296" s="60"/>
      <c r="D296" s="60"/>
      <c r="E296" s="60"/>
    </row>
    <row r="297">
      <c r="A297" s="12"/>
      <c r="B297" s="12"/>
      <c r="C297" s="60"/>
      <c r="D297" s="60"/>
      <c r="E297" s="60"/>
    </row>
    <row r="298">
      <c r="A298" s="12"/>
      <c r="B298" s="12"/>
      <c r="C298" s="60"/>
      <c r="D298" s="60"/>
      <c r="E298" s="60"/>
    </row>
    <row r="299">
      <c r="A299" s="12"/>
      <c r="B299" s="12"/>
      <c r="C299" s="60"/>
      <c r="D299" s="60"/>
      <c r="E299" s="60"/>
    </row>
    <row r="300">
      <c r="A300" s="12"/>
      <c r="B300" s="12"/>
      <c r="C300" s="60"/>
      <c r="D300" s="60"/>
      <c r="E300" s="60"/>
    </row>
    <row r="301">
      <c r="A301" s="12"/>
      <c r="B301" s="12"/>
      <c r="C301" s="60"/>
      <c r="D301" s="60"/>
      <c r="E301" s="60"/>
    </row>
    <row r="302">
      <c r="A302" s="12"/>
      <c r="B302" s="12"/>
      <c r="C302" s="60"/>
      <c r="D302" s="60"/>
      <c r="E302" s="60"/>
    </row>
    <row r="303">
      <c r="A303" s="12"/>
      <c r="B303" s="12"/>
      <c r="C303" s="60"/>
      <c r="D303" s="60"/>
      <c r="E303" s="60"/>
    </row>
    <row r="304">
      <c r="A304" s="12"/>
      <c r="B304" s="12"/>
      <c r="C304" s="60"/>
      <c r="D304" s="60"/>
      <c r="E304" s="60"/>
    </row>
    <row r="305">
      <c r="A305" s="12"/>
      <c r="B305" s="12"/>
      <c r="C305" s="60"/>
      <c r="D305" s="60"/>
      <c r="E305" s="60"/>
    </row>
    <row r="306">
      <c r="A306" s="12"/>
      <c r="B306" s="12"/>
      <c r="C306" s="60"/>
      <c r="D306" s="60"/>
      <c r="E306" s="60"/>
    </row>
    <row r="307">
      <c r="A307" s="12"/>
      <c r="B307" s="12"/>
      <c r="C307" s="60"/>
      <c r="D307" s="60"/>
      <c r="E307" s="60"/>
    </row>
    <row r="308">
      <c r="A308" s="12"/>
      <c r="B308" s="12"/>
      <c r="C308" s="60"/>
      <c r="D308" s="60"/>
      <c r="E308" s="60"/>
    </row>
    <row r="309">
      <c r="A309" s="12"/>
      <c r="B309" s="12"/>
      <c r="C309" s="60"/>
      <c r="D309" s="60"/>
      <c r="E309" s="60"/>
    </row>
    <row r="310">
      <c r="A310" s="12"/>
      <c r="B310" s="12"/>
      <c r="C310" s="60"/>
      <c r="D310" s="60"/>
      <c r="E310" s="60"/>
    </row>
    <row r="311">
      <c r="A311" s="12"/>
      <c r="B311" s="12"/>
      <c r="C311" s="60"/>
      <c r="D311" s="60"/>
      <c r="E311" s="60"/>
    </row>
    <row r="312">
      <c r="A312" s="12"/>
      <c r="B312" s="12"/>
      <c r="C312" s="60"/>
      <c r="D312" s="60"/>
      <c r="E312" s="60"/>
    </row>
    <row r="313">
      <c r="A313" s="12"/>
      <c r="B313" s="12"/>
      <c r="C313" s="60"/>
      <c r="D313" s="60"/>
      <c r="E313" s="60"/>
    </row>
    <row r="314">
      <c r="A314" s="12"/>
      <c r="B314" s="12"/>
      <c r="C314" s="60"/>
      <c r="D314" s="60"/>
      <c r="E314" s="60"/>
    </row>
    <row r="315">
      <c r="A315" s="12"/>
      <c r="B315" s="12"/>
      <c r="C315" s="60"/>
      <c r="D315" s="60"/>
      <c r="E315" s="60"/>
    </row>
    <row r="316">
      <c r="A316" s="12"/>
      <c r="B316" s="12"/>
      <c r="C316" s="60"/>
      <c r="D316" s="60"/>
      <c r="E316" s="60"/>
    </row>
    <row r="317">
      <c r="A317" s="12"/>
      <c r="B317" s="12"/>
      <c r="C317" s="60"/>
      <c r="D317" s="60"/>
      <c r="E317" s="60"/>
    </row>
    <row r="318">
      <c r="A318" s="12"/>
      <c r="B318" s="12"/>
      <c r="C318" s="60"/>
      <c r="D318" s="60"/>
      <c r="E318" s="60"/>
    </row>
    <row r="319">
      <c r="A319" s="12"/>
      <c r="B319" s="12"/>
      <c r="C319" s="60"/>
      <c r="D319" s="60"/>
      <c r="E319" s="60"/>
    </row>
    <row r="320">
      <c r="A320" s="12"/>
      <c r="B320" s="12"/>
      <c r="C320" s="60"/>
      <c r="D320" s="60"/>
      <c r="E320" s="60"/>
    </row>
    <row r="321">
      <c r="A321" s="12"/>
      <c r="B321" s="12"/>
      <c r="C321" s="60"/>
      <c r="D321" s="60"/>
      <c r="E321" s="60"/>
    </row>
    <row r="322">
      <c r="A322" s="12"/>
      <c r="B322" s="12"/>
      <c r="C322" s="60"/>
      <c r="D322" s="60"/>
      <c r="E322" s="60"/>
    </row>
    <row r="323">
      <c r="A323" s="12"/>
      <c r="B323" s="12"/>
      <c r="C323" s="60"/>
      <c r="D323" s="60"/>
      <c r="E323" s="60"/>
    </row>
    <row r="324">
      <c r="A324" s="12"/>
      <c r="B324" s="12"/>
      <c r="C324" s="60"/>
      <c r="D324" s="60"/>
      <c r="E324" s="60"/>
    </row>
    <row r="325">
      <c r="A325" s="12"/>
      <c r="B325" s="12"/>
      <c r="C325" s="60"/>
      <c r="D325" s="60"/>
      <c r="E325" s="60"/>
    </row>
    <row r="326">
      <c r="A326" s="12"/>
      <c r="B326" s="12"/>
      <c r="C326" s="60"/>
      <c r="D326" s="60"/>
      <c r="E326" s="60"/>
    </row>
    <row r="327">
      <c r="A327" s="12"/>
      <c r="B327" s="12"/>
      <c r="C327" s="60"/>
      <c r="D327" s="60"/>
      <c r="E327" s="60"/>
    </row>
    <row r="328">
      <c r="A328" s="12"/>
      <c r="B328" s="12"/>
      <c r="C328" s="60"/>
      <c r="D328" s="60"/>
      <c r="E328" s="60"/>
    </row>
    <row r="329">
      <c r="A329" s="12"/>
      <c r="B329" s="12"/>
      <c r="C329" s="60"/>
      <c r="D329" s="60"/>
      <c r="E329" s="60"/>
    </row>
    <row r="330">
      <c r="A330" s="12"/>
      <c r="B330" s="12"/>
      <c r="C330" s="60"/>
      <c r="D330" s="60"/>
      <c r="E330" s="60"/>
    </row>
    <row r="331">
      <c r="A331" s="12"/>
      <c r="B331" s="12"/>
      <c r="C331" s="60"/>
      <c r="D331" s="60"/>
      <c r="E331" s="60"/>
    </row>
    <row r="332">
      <c r="A332" s="12"/>
      <c r="B332" s="12"/>
      <c r="C332" s="60"/>
      <c r="D332" s="60"/>
      <c r="E332" s="60"/>
    </row>
    <row r="333">
      <c r="A333" s="12"/>
      <c r="B333" s="12"/>
      <c r="C333" s="60"/>
      <c r="D333" s="60"/>
      <c r="E333" s="60"/>
    </row>
    <row r="334">
      <c r="A334" s="12"/>
      <c r="B334" s="12"/>
      <c r="C334" s="60"/>
      <c r="D334" s="60"/>
      <c r="E334" s="60"/>
    </row>
    <row r="335">
      <c r="A335" s="12"/>
      <c r="B335" s="12"/>
      <c r="C335" s="60"/>
      <c r="D335" s="60"/>
      <c r="E335" s="60"/>
    </row>
    <row r="336">
      <c r="A336" s="12"/>
      <c r="B336" s="12"/>
      <c r="C336" s="60"/>
      <c r="D336" s="60"/>
      <c r="E336" s="60"/>
    </row>
    <row r="337">
      <c r="A337" s="12"/>
      <c r="B337" s="12"/>
      <c r="C337" s="60"/>
      <c r="D337" s="60"/>
      <c r="E337" s="60"/>
    </row>
    <row r="338">
      <c r="A338" s="12"/>
      <c r="B338" s="12"/>
      <c r="C338" s="60"/>
      <c r="D338" s="60"/>
      <c r="E338" s="60"/>
    </row>
    <row r="339">
      <c r="A339" s="12"/>
      <c r="B339" s="12"/>
      <c r="C339" s="60"/>
      <c r="D339" s="60"/>
      <c r="E339" s="60"/>
    </row>
    <row r="340">
      <c r="A340" s="12"/>
      <c r="B340" s="12"/>
      <c r="C340" s="60"/>
      <c r="D340" s="60"/>
      <c r="E340" s="60"/>
    </row>
    <row r="341">
      <c r="A341" s="12"/>
      <c r="B341" s="12"/>
      <c r="C341" s="60"/>
      <c r="D341" s="60"/>
      <c r="E341" s="60"/>
    </row>
    <row r="342">
      <c r="A342" s="12"/>
      <c r="B342" s="12"/>
      <c r="C342" s="60"/>
      <c r="D342" s="60"/>
      <c r="E342" s="60"/>
    </row>
    <row r="343">
      <c r="A343" s="12"/>
      <c r="B343" s="12"/>
      <c r="C343" s="60"/>
      <c r="D343" s="60"/>
      <c r="E343" s="60"/>
    </row>
    <row r="344">
      <c r="A344" s="12"/>
      <c r="B344" s="12"/>
      <c r="C344" s="60"/>
      <c r="D344" s="60"/>
      <c r="E344" s="60"/>
    </row>
    <row r="345">
      <c r="A345" s="12"/>
      <c r="B345" s="12"/>
      <c r="C345" s="60"/>
      <c r="D345" s="60"/>
      <c r="E345" s="60"/>
    </row>
    <row r="346">
      <c r="A346" s="12"/>
      <c r="B346" s="12"/>
      <c r="C346" s="60"/>
      <c r="D346" s="60"/>
      <c r="E346" s="60"/>
    </row>
    <row r="347">
      <c r="A347" s="12"/>
      <c r="B347" s="12"/>
      <c r="C347" s="60"/>
      <c r="D347" s="60"/>
      <c r="E347" s="60"/>
    </row>
    <row r="348">
      <c r="A348" s="12"/>
      <c r="B348" s="12"/>
      <c r="C348" s="60"/>
      <c r="D348" s="60"/>
      <c r="E348" s="60"/>
    </row>
    <row r="349">
      <c r="A349" s="12"/>
      <c r="B349" s="12"/>
      <c r="C349" s="60"/>
      <c r="D349" s="60"/>
      <c r="E349" s="60"/>
    </row>
    <row r="350">
      <c r="A350" s="12"/>
      <c r="B350" s="12"/>
      <c r="C350" s="60"/>
      <c r="D350" s="60"/>
      <c r="E350" s="60"/>
    </row>
    <row r="351">
      <c r="A351" s="12"/>
      <c r="B351" s="12"/>
      <c r="C351" s="60"/>
      <c r="D351" s="60"/>
      <c r="E351" s="60"/>
    </row>
    <row r="352">
      <c r="A352" s="12"/>
      <c r="B352" s="12"/>
      <c r="C352" s="60"/>
      <c r="D352" s="60"/>
      <c r="E352" s="60"/>
    </row>
    <row r="353">
      <c r="A353" s="12"/>
      <c r="B353" s="12"/>
      <c r="C353" s="60"/>
      <c r="D353" s="60"/>
      <c r="E353" s="60"/>
    </row>
    <row r="354">
      <c r="A354" s="12"/>
      <c r="B354" s="12"/>
      <c r="C354" s="60"/>
      <c r="D354" s="60"/>
      <c r="E354" s="60"/>
    </row>
    <row r="355">
      <c r="A355" s="12"/>
      <c r="B355" s="12"/>
      <c r="C355" s="60"/>
      <c r="D355" s="60"/>
      <c r="E355" s="60"/>
    </row>
    <row r="356">
      <c r="A356" s="12"/>
      <c r="B356" s="12"/>
      <c r="C356" s="60"/>
      <c r="D356" s="60"/>
      <c r="E356" s="60"/>
    </row>
    <row r="357">
      <c r="A357" s="12"/>
      <c r="B357" s="12"/>
      <c r="C357" s="60"/>
      <c r="D357" s="60"/>
      <c r="E357" s="60"/>
    </row>
    <row r="358">
      <c r="A358" s="12"/>
      <c r="B358" s="12"/>
      <c r="C358" s="60"/>
      <c r="D358" s="60"/>
      <c r="E358" s="60"/>
    </row>
    <row r="359">
      <c r="A359" s="12"/>
      <c r="B359" s="12"/>
      <c r="C359" s="60"/>
      <c r="D359" s="60"/>
      <c r="E359" s="60"/>
    </row>
    <row r="360">
      <c r="A360" s="12"/>
      <c r="B360" s="12"/>
      <c r="C360" s="60"/>
      <c r="D360" s="60"/>
      <c r="E360" s="60"/>
    </row>
    <row r="361">
      <c r="A361" s="12"/>
      <c r="B361" s="12"/>
      <c r="C361" s="60"/>
      <c r="D361" s="60"/>
      <c r="E361" s="60"/>
    </row>
    <row r="362">
      <c r="A362" s="12"/>
      <c r="B362" s="12"/>
      <c r="C362" s="60"/>
      <c r="D362" s="60"/>
      <c r="E362" s="60"/>
    </row>
    <row r="363">
      <c r="A363" s="12"/>
      <c r="B363" s="12"/>
      <c r="C363" s="60"/>
      <c r="D363" s="60"/>
      <c r="E363" s="60"/>
    </row>
    <row r="364">
      <c r="A364" s="12"/>
      <c r="B364" s="12"/>
      <c r="C364" s="60"/>
      <c r="D364" s="60"/>
      <c r="E364" s="60"/>
    </row>
    <row r="365">
      <c r="A365" s="12"/>
      <c r="B365" s="12"/>
      <c r="C365" s="60"/>
      <c r="D365" s="60"/>
      <c r="E365" s="60"/>
    </row>
    <row r="366">
      <c r="A366" s="12"/>
      <c r="B366" s="12"/>
      <c r="C366" s="60"/>
      <c r="D366" s="60"/>
      <c r="E366" s="60"/>
    </row>
    <row r="367">
      <c r="A367" s="12"/>
      <c r="B367" s="12"/>
      <c r="C367" s="60"/>
      <c r="D367" s="60"/>
      <c r="E367" s="60"/>
    </row>
    <row r="368">
      <c r="A368" s="12"/>
      <c r="B368" s="12"/>
      <c r="C368" s="60"/>
      <c r="D368" s="60"/>
      <c r="E368" s="60"/>
    </row>
    <row r="369">
      <c r="A369" s="12"/>
      <c r="B369" s="12"/>
      <c r="C369" s="60"/>
      <c r="D369" s="60"/>
      <c r="E369" s="60"/>
    </row>
    <row r="370">
      <c r="A370" s="12"/>
      <c r="B370" s="12"/>
      <c r="C370" s="60"/>
      <c r="D370" s="60"/>
      <c r="E370" s="60"/>
    </row>
    <row r="371">
      <c r="A371" s="12"/>
      <c r="B371" s="12"/>
      <c r="C371" s="60"/>
      <c r="D371" s="60"/>
      <c r="E371" s="60"/>
    </row>
    <row r="372">
      <c r="A372" s="12"/>
      <c r="B372" s="12"/>
      <c r="C372" s="60"/>
      <c r="D372" s="60"/>
      <c r="E372" s="60"/>
    </row>
    <row r="373">
      <c r="A373" s="12"/>
      <c r="B373" s="12"/>
      <c r="C373" s="60"/>
      <c r="D373" s="60"/>
      <c r="E373" s="60"/>
    </row>
    <row r="374">
      <c r="A374" s="12"/>
      <c r="B374" s="12"/>
      <c r="C374" s="60"/>
      <c r="D374" s="60"/>
      <c r="E374" s="60"/>
    </row>
    <row r="375">
      <c r="A375" s="12"/>
      <c r="B375" s="12"/>
      <c r="C375" s="60"/>
      <c r="D375" s="60"/>
      <c r="E375" s="60"/>
    </row>
    <row r="376">
      <c r="A376" s="12"/>
      <c r="B376" s="12"/>
      <c r="C376" s="60"/>
      <c r="D376" s="60"/>
      <c r="E376" s="60"/>
    </row>
    <row r="377">
      <c r="A377" s="12"/>
      <c r="B377" s="12"/>
      <c r="C377" s="60"/>
      <c r="D377" s="60"/>
      <c r="E377" s="60"/>
    </row>
    <row r="378">
      <c r="A378" s="12"/>
      <c r="B378" s="12"/>
      <c r="C378" s="60"/>
      <c r="D378" s="60"/>
      <c r="E378" s="60"/>
    </row>
    <row r="379">
      <c r="A379" s="12"/>
      <c r="B379" s="12"/>
      <c r="C379" s="60"/>
      <c r="D379" s="60"/>
      <c r="E379" s="60"/>
    </row>
    <row r="380">
      <c r="A380" s="12"/>
      <c r="B380" s="12"/>
      <c r="C380" s="60"/>
      <c r="D380" s="60"/>
      <c r="E380" s="60"/>
    </row>
    <row r="381">
      <c r="A381" s="12"/>
      <c r="B381" s="12"/>
      <c r="C381" s="60"/>
      <c r="D381" s="60"/>
      <c r="E381" s="60"/>
    </row>
    <row r="382">
      <c r="A382" s="12"/>
      <c r="B382" s="12"/>
      <c r="C382" s="60"/>
      <c r="D382" s="60"/>
      <c r="E382" s="60"/>
    </row>
    <row r="383">
      <c r="A383" s="12"/>
      <c r="B383" s="12"/>
      <c r="C383" s="60"/>
      <c r="D383" s="60"/>
      <c r="E383" s="60"/>
    </row>
    <row r="384">
      <c r="A384" s="12"/>
      <c r="B384" s="12"/>
      <c r="C384" s="60"/>
      <c r="D384" s="60"/>
      <c r="E384" s="60"/>
    </row>
    <row r="385">
      <c r="A385" s="12"/>
      <c r="B385" s="12"/>
      <c r="C385" s="60"/>
      <c r="D385" s="60"/>
      <c r="E385" s="60"/>
    </row>
    <row r="386">
      <c r="A386" s="12"/>
      <c r="B386" s="12"/>
      <c r="C386" s="60"/>
      <c r="D386" s="60"/>
      <c r="E386" s="60"/>
    </row>
    <row r="387">
      <c r="A387" s="12"/>
      <c r="B387" s="12"/>
      <c r="C387" s="60"/>
      <c r="D387" s="60"/>
      <c r="E387" s="60"/>
    </row>
    <row r="388">
      <c r="A388" s="12"/>
      <c r="B388" s="12"/>
      <c r="C388" s="60"/>
      <c r="D388" s="60"/>
      <c r="E388" s="60"/>
    </row>
    <row r="389">
      <c r="A389" s="12"/>
      <c r="B389" s="12"/>
      <c r="C389" s="60"/>
      <c r="D389" s="60"/>
      <c r="E389" s="60"/>
    </row>
    <row r="390">
      <c r="A390" s="12"/>
      <c r="B390" s="12"/>
      <c r="C390" s="60"/>
      <c r="D390" s="60"/>
      <c r="E390" s="60"/>
    </row>
    <row r="391">
      <c r="A391" s="12"/>
      <c r="B391" s="12"/>
      <c r="C391" s="60"/>
      <c r="D391" s="60"/>
      <c r="E391" s="60"/>
    </row>
    <row r="392">
      <c r="A392" s="12"/>
      <c r="B392" s="12"/>
      <c r="C392" s="60"/>
      <c r="D392" s="60"/>
      <c r="E392" s="60"/>
    </row>
    <row r="393">
      <c r="A393" s="12"/>
      <c r="B393" s="12"/>
      <c r="C393" s="60"/>
      <c r="D393" s="60"/>
      <c r="E393" s="60"/>
    </row>
    <row r="394">
      <c r="A394" s="12"/>
      <c r="B394" s="12"/>
      <c r="C394" s="60"/>
      <c r="D394" s="60"/>
      <c r="E394" s="60"/>
    </row>
    <row r="395">
      <c r="A395" s="12"/>
      <c r="B395" s="12"/>
      <c r="C395" s="60"/>
      <c r="D395" s="60"/>
      <c r="E395" s="60"/>
    </row>
    <row r="396">
      <c r="A396" s="12"/>
      <c r="B396" s="12"/>
      <c r="C396" s="60"/>
      <c r="D396" s="60"/>
      <c r="E396" s="60"/>
    </row>
    <row r="397">
      <c r="A397" s="12"/>
      <c r="B397" s="12"/>
      <c r="C397" s="60"/>
      <c r="D397" s="60"/>
      <c r="E397" s="60"/>
    </row>
    <row r="398">
      <c r="A398" s="12"/>
      <c r="B398" s="12"/>
      <c r="C398" s="60"/>
      <c r="D398" s="60"/>
      <c r="E398" s="60"/>
    </row>
    <row r="399">
      <c r="A399" s="12"/>
      <c r="B399" s="12"/>
      <c r="C399" s="60"/>
      <c r="D399" s="60"/>
      <c r="E399" s="60"/>
    </row>
    <row r="400">
      <c r="A400" s="12"/>
      <c r="B400" s="12"/>
      <c r="C400" s="60"/>
      <c r="D400" s="60"/>
      <c r="E400" s="60"/>
    </row>
    <row r="401">
      <c r="A401" s="12"/>
      <c r="B401" s="12"/>
      <c r="C401" s="60"/>
      <c r="D401" s="60"/>
      <c r="E401" s="60"/>
    </row>
    <row r="402">
      <c r="A402" s="12"/>
      <c r="B402" s="12"/>
      <c r="C402" s="60"/>
      <c r="D402" s="60"/>
      <c r="E402" s="60"/>
    </row>
    <row r="403">
      <c r="A403" s="12"/>
      <c r="B403" s="12"/>
      <c r="C403" s="60"/>
      <c r="D403" s="60"/>
      <c r="E403" s="60"/>
    </row>
    <row r="404">
      <c r="A404" s="12"/>
      <c r="B404" s="12"/>
      <c r="C404" s="60"/>
      <c r="D404" s="60"/>
      <c r="E404" s="60"/>
    </row>
    <row r="405">
      <c r="A405" s="12"/>
      <c r="B405" s="12"/>
      <c r="C405" s="60"/>
      <c r="D405" s="60"/>
      <c r="E405" s="60"/>
    </row>
    <row r="406">
      <c r="A406" s="12"/>
      <c r="B406" s="12"/>
      <c r="C406" s="60"/>
      <c r="D406" s="60"/>
      <c r="E406" s="60"/>
    </row>
    <row r="407">
      <c r="A407" s="12"/>
      <c r="B407" s="12"/>
      <c r="C407" s="60"/>
      <c r="D407" s="60"/>
      <c r="E407" s="60"/>
    </row>
    <row r="408">
      <c r="A408" s="12"/>
      <c r="B408" s="12"/>
      <c r="C408" s="60"/>
      <c r="D408" s="60"/>
      <c r="E408" s="60"/>
    </row>
    <row r="409">
      <c r="A409" s="12"/>
      <c r="B409" s="12"/>
      <c r="C409" s="60"/>
      <c r="D409" s="60"/>
      <c r="E409" s="60"/>
    </row>
    <row r="410">
      <c r="A410" s="12"/>
      <c r="B410" s="12"/>
      <c r="C410" s="60"/>
      <c r="D410" s="60"/>
      <c r="E410" s="60"/>
    </row>
    <row r="411">
      <c r="A411" s="12"/>
      <c r="B411" s="12"/>
      <c r="C411" s="60"/>
      <c r="D411" s="60"/>
      <c r="E411" s="60"/>
    </row>
    <row r="412">
      <c r="A412" s="12"/>
      <c r="B412" s="12"/>
      <c r="C412" s="60"/>
      <c r="D412" s="60"/>
      <c r="E412" s="60"/>
    </row>
    <row r="413">
      <c r="A413" s="12"/>
      <c r="B413" s="12"/>
      <c r="C413" s="60"/>
      <c r="D413" s="60"/>
      <c r="E413" s="60"/>
    </row>
    <row r="414">
      <c r="A414" s="12"/>
      <c r="B414" s="12"/>
      <c r="C414" s="60"/>
      <c r="D414" s="60"/>
      <c r="E414" s="60"/>
    </row>
    <row r="415">
      <c r="A415" s="12"/>
      <c r="B415" s="12"/>
      <c r="C415" s="60"/>
      <c r="D415" s="60"/>
      <c r="E415" s="60"/>
    </row>
    <row r="416">
      <c r="A416" s="12"/>
      <c r="B416" s="12"/>
      <c r="C416" s="60"/>
      <c r="D416" s="60"/>
      <c r="E416" s="60"/>
    </row>
    <row r="417">
      <c r="A417" s="12"/>
      <c r="B417" s="12"/>
      <c r="C417" s="60"/>
      <c r="D417" s="60"/>
      <c r="E417" s="60"/>
    </row>
    <row r="418">
      <c r="A418" s="12"/>
      <c r="B418" s="12"/>
      <c r="C418" s="60"/>
      <c r="D418" s="60"/>
      <c r="E418" s="60"/>
    </row>
    <row r="419">
      <c r="A419" s="12"/>
      <c r="B419" s="12"/>
      <c r="C419" s="60"/>
      <c r="D419" s="60"/>
      <c r="E419" s="60"/>
    </row>
    <row r="420">
      <c r="A420" s="12"/>
      <c r="B420" s="12"/>
      <c r="C420" s="60"/>
      <c r="D420" s="60"/>
      <c r="E420" s="60"/>
    </row>
    <row r="421">
      <c r="A421" s="12"/>
      <c r="B421" s="12"/>
      <c r="C421" s="60"/>
      <c r="D421" s="60"/>
      <c r="E421" s="60"/>
    </row>
    <row r="422">
      <c r="A422" s="12"/>
      <c r="B422" s="12"/>
      <c r="C422" s="60"/>
      <c r="D422" s="60"/>
      <c r="E422" s="60"/>
    </row>
    <row r="423">
      <c r="A423" s="12"/>
      <c r="B423" s="12"/>
      <c r="C423" s="60"/>
      <c r="D423" s="60"/>
      <c r="E423" s="60"/>
    </row>
    <row r="424">
      <c r="A424" s="12"/>
      <c r="B424" s="12"/>
      <c r="C424" s="60"/>
      <c r="D424" s="60"/>
      <c r="E424" s="60"/>
    </row>
    <row r="425">
      <c r="A425" s="12"/>
      <c r="B425" s="12"/>
      <c r="C425" s="60"/>
      <c r="D425" s="60"/>
      <c r="E425" s="60"/>
    </row>
    <row r="426">
      <c r="A426" s="12"/>
      <c r="B426" s="12"/>
      <c r="C426" s="60"/>
      <c r="D426" s="60"/>
      <c r="E426" s="60"/>
    </row>
    <row r="427">
      <c r="A427" s="12"/>
      <c r="B427" s="12"/>
      <c r="C427" s="60"/>
      <c r="D427" s="60"/>
      <c r="E427" s="60"/>
    </row>
    <row r="428">
      <c r="A428" s="12"/>
      <c r="B428" s="12"/>
      <c r="C428" s="60"/>
      <c r="D428" s="60"/>
      <c r="E428" s="60"/>
    </row>
    <row r="429">
      <c r="A429" s="12"/>
      <c r="B429" s="12"/>
      <c r="C429" s="60"/>
      <c r="D429" s="60"/>
      <c r="E429" s="60"/>
    </row>
    <row r="430">
      <c r="A430" s="12"/>
      <c r="B430" s="12"/>
      <c r="C430" s="60"/>
      <c r="D430" s="60"/>
      <c r="E430" s="60"/>
    </row>
    <row r="431">
      <c r="A431" s="12"/>
      <c r="B431" s="12"/>
      <c r="C431" s="60"/>
      <c r="D431" s="60"/>
      <c r="E431" s="60"/>
    </row>
    <row r="432">
      <c r="A432" s="12"/>
      <c r="B432" s="12"/>
      <c r="C432" s="60"/>
      <c r="D432" s="60"/>
      <c r="E432" s="60"/>
    </row>
    <row r="433">
      <c r="A433" s="12"/>
      <c r="B433" s="12"/>
      <c r="C433" s="60"/>
      <c r="D433" s="60"/>
      <c r="E433" s="60"/>
    </row>
    <row r="434">
      <c r="A434" s="12"/>
      <c r="B434" s="12"/>
      <c r="C434" s="60"/>
      <c r="D434" s="60"/>
      <c r="E434" s="60"/>
    </row>
    <row r="435">
      <c r="A435" s="12"/>
      <c r="B435" s="12"/>
      <c r="C435" s="60"/>
      <c r="D435" s="60"/>
      <c r="E435" s="60"/>
    </row>
    <row r="436">
      <c r="A436" s="12"/>
      <c r="B436" s="12"/>
      <c r="C436" s="60"/>
      <c r="D436" s="60"/>
      <c r="E436" s="60"/>
    </row>
    <row r="437">
      <c r="A437" s="12"/>
      <c r="B437" s="12"/>
      <c r="C437" s="60"/>
      <c r="D437" s="60"/>
      <c r="E437" s="60"/>
    </row>
    <row r="438">
      <c r="A438" s="12"/>
      <c r="B438" s="12"/>
      <c r="C438" s="60"/>
      <c r="D438" s="60"/>
      <c r="E438" s="60"/>
    </row>
    <row r="439">
      <c r="A439" s="12"/>
      <c r="B439" s="12"/>
      <c r="C439" s="60"/>
      <c r="D439" s="60"/>
      <c r="E439" s="60"/>
    </row>
    <row r="440">
      <c r="A440" s="12"/>
      <c r="B440" s="12"/>
      <c r="C440" s="60"/>
      <c r="D440" s="60"/>
      <c r="E440" s="60"/>
    </row>
    <row r="441">
      <c r="A441" s="12"/>
      <c r="B441" s="12"/>
      <c r="C441" s="60"/>
      <c r="D441" s="60"/>
      <c r="E441" s="60"/>
    </row>
    <row r="442">
      <c r="A442" s="12"/>
      <c r="B442" s="12"/>
      <c r="C442" s="60"/>
      <c r="D442" s="60"/>
      <c r="E442" s="60"/>
    </row>
    <row r="443">
      <c r="A443" s="12"/>
      <c r="B443" s="12"/>
      <c r="C443" s="60"/>
      <c r="D443" s="60"/>
      <c r="E443" s="60"/>
    </row>
    <row r="444">
      <c r="A444" s="12"/>
      <c r="B444" s="12"/>
      <c r="C444" s="60"/>
      <c r="D444" s="60"/>
      <c r="E444" s="60"/>
    </row>
    <row r="445">
      <c r="A445" s="12"/>
      <c r="B445" s="12"/>
      <c r="C445" s="60"/>
      <c r="D445" s="60"/>
      <c r="E445" s="60"/>
    </row>
    <row r="446">
      <c r="A446" s="12"/>
      <c r="B446" s="12"/>
      <c r="C446" s="60"/>
      <c r="D446" s="60"/>
      <c r="E446" s="60"/>
    </row>
    <row r="447">
      <c r="A447" s="12"/>
      <c r="B447" s="12"/>
      <c r="C447" s="60"/>
      <c r="D447" s="60"/>
      <c r="E447" s="60"/>
    </row>
    <row r="448">
      <c r="A448" s="12"/>
      <c r="B448" s="12"/>
      <c r="C448" s="60"/>
      <c r="D448" s="60"/>
      <c r="E448" s="60"/>
    </row>
    <row r="449">
      <c r="A449" s="12"/>
      <c r="B449" s="12"/>
      <c r="C449" s="60"/>
      <c r="D449" s="60"/>
      <c r="E449" s="60"/>
    </row>
    <row r="450">
      <c r="A450" s="12"/>
      <c r="B450" s="12"/>
      <c r="C450" s="60"/>
      <c r="D450" s="60"/>
      <c r="E450" s="60"/>
    </row>
    <row r="451">
      <c r="A451" s="12"/>
      <c r="B451" s="12"/>
      <c r="C451" s="60"/>
      <c r="D451" s="60"/>
      <c r="E451" s="60"/>
    </row>
    <row r="452">
      <c r="A452" s="12"/>
      <c r="B452" s="12"/>
      <c r="C452" s="60"/>
      <c r="D452" s="60"/>
      <c r="E452" s="60"/>
    </row>
    <row r="453">
      <c r="A453" s="12"/>
      <c r="B453" s="12"/>
      <c r="C453" s="60"/>
      <c r="D453" s="60"/>
      <c r="E453" s="60"/>
    </row>
    <row r="454">
      <c r="A454" s="12"/>
      <c r="B454" s="12"/>
      <c r="C454" s="60"/>
      <c r="D454" s="60"/>
      <c r="E454" s="60"/>
    </row>
    <row r="455">
      <c r="A455" s="12"/>
      <c r="B455" s="12"/>
      <c r="C455" s="60"/>
      <c r="D455" s="60"/>
      <c r="E455" s="60"/>
    </row>
    <row r="456">
      <c r="A456" s="12"/>
      <c r="B456" s="12"/>
      <c r="C456" s="60"/>
      <c r="D456" s="60"/>
      <c r="E456" s="60"/>
    </row>
    <row r="457">
      <c r="A457" s="12"/>
      <c r="B457" s="12"/>
      <c r="C457" s="60"/>
      <c r="D457" s="60"/>
      <c r="E457" s="60"/>
    </row>
    <row r="458">
      <c r="A458" s="12"/>
      <c r="B458" s="12"/>
      <c r="C458" s="60"/>
      <c r="D458" s="60"/>
      <c r="E458" s="60"/>
    </row>
    <row r="459">
      <c r="A459" s="12"/>
      <c r="B459" s="12"/>
      <c r="C459" s="60"/>
      <c r="D459" s="60"/>
      <c r="E459" s="60"/>
    </row>
    <row r="460">
      <c r="A460" s="12"/>
      <c r="B460" s="12"/>
      <c r="C460" s="60"/>
      <c r="D460" s="60"/>
      <c r="E460" s="60"/>
    </row>
    <row r="461">
      <c r="A461" s="12"/>
      <c r="B461" s="12"/>
      <c r="C461" s="60"/>
      <c r="D461" s="60"/>
      <c r="E461" s="60"/>
    </row>
    <row r="462">
      <c r="A462" s="12"/>
      <c r="B462" s="12"/>
      <c r="C462" s="60"/>
      <c r="D462" s="60"/>
      <c r="E462" s="60"/>
    </row>
    <row r="463">
      <c r="A463" s="12"/>
      <c r="B463" s="12"/>
      <c r="C463" s="60"/>
      <c r="D463" s="60"/>
      <c r="E463" s="60"/>
    </row>
    <row r="464">
      <c r="A464" s="12"/>
      <c r="B464" s="12"/>
      <c r="C464" s="60"/>
      <c r="D464" s="60"/>
      <c r="E464" s="60"/>
    </row>
    <row r="465">
      <c r="A465" s="12"/>
      <c r="B465" s="12"/>
      <c r="C465" s="60"/>
      <c r="D465" s="60"/>
      <c r="E465" s="60"/>
    </row>
    <row r="466">
      <c r="A466" s="12"/>
      <c r="B466" s="12"/>
      <c r="C466" s="60"/>
      <c r="D466" s="60"/>
      <c r="E466" s="60"/>
    </row>
    <row r="467">
      <c r="A467" s="12"/>
      <c r="B467" s="12"/>
      <c r="C467" s="60"/>
      <c r="D467" s="60"/>
      <c r="E467" s="60"/>
    </row>
    <row r="468">
      <c r="A468" s="12"/>
      <c r="B468" s="12"/>
      <c r="C468" s="60"/>
      <c r="D468" s="60"/>
      <c r="E468" s="60"/>
    </row>
    <row r="469">
      <c r="A469" s="12"/>
      <c r="B469" s="12"/>
      <c r="C469" s="60"/>
      <c r="D469" s="60"/>
      <c r="E469" s="60"/>
    </row>
    <row r="470">
      <c r="A470" s="12"/>
      <c r="B470" s="12"/>
      <c r="C470" s="60"/>
      <c r="D470" s="60"/>
      <c r="E470" s="60"/>
    </row>
    <row r="471">
      <c r="A471" s="12"/>
      <c r="B471" s="12"/>
      <c r="C471" s="60"/>
      <c r="D471" s="60"/>
      <c r="E471" s="60"/>
    </row>
    <row r="472">
      <c r="A472" s="12"/>
      <c r="B472" s="12"/>
      <c r="C472" s="60"/>
      <c r="D472" s="60"/>
      <c r="E472" s="60"/>
    </row>
    <row r="473">
      <c r="A473" s="12"/>
      <c r="B473" s="12"/>
      <c r="C473" s="60"/>
      <c r="D473" s="60"/>
      <c r="E473" s="60"/>
    </row>
    <row r="474">
      <c r="A474" s="12"/>
      <c r="B474" s="12"/>
      <c r="C474" s="60"/>
      <c r="D474" s="60"/>
      <c r="E474" s="60"/>
    </row>
    <row r="475">
      <c r="A475" s="12"/>
      <c r="B475" s="12"/>
      <c r="C475" s="60"/>
      <c r="D475" s="60"/>
      <c r="E475" s="60"/>
    </row>
    <row r="476">
      <c r="A476" s="12"/>
      <c r="B476" s="12"/>
      <c r="C476" s="60"/>
      <c r="D476" s="60"/>
      <c r="E476" s="60"/>
    </row>
    <row r="477">
      <c r="A477" s="12"/>
      <c r="B477" s="12"/>
      <c r="C477" s="60"/>
      <c r="D477" s="60"/>
      <c r="E477" s="60"/>
    </row>
    <row r="478">
      <c r="A478" s="12"/>
      <c r="B478" s="12"/>
      <c r="C478" s="60"/>
      <c r="D478" s="60"/>
      <c r="E478" s="60"/>
    </row>
    <row r="479">
      <c r="A479" s="12"/>
      <c r="B479" s="12"/>
      <c r="C479" s="60"/>
      <c r="D479" s="60"/>
      <c r="E479" s="60"/>
    </row>
    <row r="480">
      <c r="A480" s="12"/>
      <c r="B480" s="12"/>
      <c r="C480" s="60"/>
      <c r="D480" s="60"/>
      <c r="E480" s="60"/>
    </row>
    <row r="481">
      <c r="A481" s="12"/>
      <c r="B481" s="12"/>
      <c r="C481" s="60"/>
      <c r="D481" s="60"/>
      <c r="E481" s="60"/>
    </row>
    <row r="482">
      <c r="A482" s="12"/>
      <c r="B482" s="12"/>
      <c r="C482" s="60"/>
      <c r="D482" s="60"/>
      <c r="E482" s="60"/>
    </row>
    <row r="483">
      <c r="A483" s="12"/>
      <c r="B483" s="12"/>
      <c r="C483" s="60"/>
      <c r="D483" s="60"/>
      <c r="E483" s="60"/>
    </row>
    <row r="484">
      <c r="A484" s="12"/>
      <c r="B484" s="12"/>
      <c r="C484" s="60"/>
      <c r="D484" s="60"/>
      <c r="E484" s="60"/>
    </row>
    <row r="485">
      <c r="A485" s="12"/>
      <c r="B485" s="12"/>
      <c r="C485" s="60"/>
      <c r="D485" s="60"/>
      <c r="E485" s="60"/>
    </row>
    <row r="486">
      <c r="A486" s="12"/>
      <c r="B486" s="12"/>
      <c r="C486" s="60"/>
      <c r="D486" s="60"/>
      <c r="E486" s="60"/>
    </row>
    <row r="487">
      <c r="A487" s="12"/>
      <c r="B487" s="12"/>
      <c r="C487" s="60"/>
      <c r="D487" s="60"/>
      <c r="E487" s="60"/>
    </row>
    <row r="488">
      <c r="A488" s="12"/>
      <c r="B488" s="12"/>
      <c r="C488" s="60"/>
      <c r="D488" s="60"/>
      <c r="E488" s="60"/>
    </row>
    <row r="489">
      <c r="A489" s="12"/>
      <c r="B489" s="12"/>
      <c r="C489" s="60"/>
      <c r="D489" s="60"/>
      <c r="E489" s="60"/>
    </row>
    <row r="490">
      <c r="A490" s="12"/>
      <c r="B490" s="12"/>
      <c r="C490" s="60"/>
      <c r="D490" s="60"/>
      <c r="E490" s="60"/>
    </row>
    <row r="491">
      <c r="A491" s="12"/>
      <c r="B491" s="12"/>
      <c r="C491" s="60"/>
      <c r="D491" s="60"/>
      <c r="E491" s="60"/>
    </row>
    <row r="492">
      <c r="A492" s="12"/>
      <c r="B492" s="12"/>
      <c r="C492" s="60"/>
      <c r="D492" s="60"/>
      <c r="E492" s="60"/>
    </row>
    <row r="493">
      <c r="A493" s="12"/>
      <c r="B493" s="12"/>
      <c r="C493" s="60"/>
      <c r="D493" s="60"/>
      <c r="E493" s="60"/>
    </row>
    <row r="494">
      <c r="A494" s="12"/>
      <c r="B494" s="12"/>
      <c r="C494" s="60"/>
      <c r="D494" s="60"/>
      <c r="E494" s="60"/>
    </row>
    <row r="495">
      <c r="A495" s="12"/>
      <c r="B495" s="12"/>
      <c r="C495" s="60"/>
      <c r="D495" s="60"/>
      <c r="E495" s="60"/>
    </row>
    <row r="496">
      <c r="A496" s="12"/>
      <c r="B496" s="12"/>
      <c r="C496" s="60"/>
      <c r="D496" s="60"/>
      <c r="E496" s="60"/>
    </row>
    <row r="497">
      <c r="A497" s="12"/>
      <c r="B497" s="12"/>
      <c r="C497" s="60"/>
      <c r="D497" s="60"/>
      <c r="E497" s="60"/>
    </row>
    <row r="498">
      <c r="A498" s="12"/>
      <c r="B498" s="12"/>
      <c r="C498" s="60"/>
      <c r="D498" s="60"/>
      <c r="E498" s="60"/>
    </row>
    <row r="499">
      <c r="A499" s="12"/>
      <c r="B499" s="12"/>
      <c r="C499" s="60"/>
      <c r="D499" s="60"/>
      <c r="E499" s="60"/>
    </row>
    <row r="500">
      <c r="A500" s="12"/>
      <c r="B500" s="12"/>
      <c r="C500" s="60"/>
      <c r="D500" s="60"/>
      <c r="E500" s="60"/>
    </row>
    <row r="501">
      <c r="A501" s="12"/>
      <c r="B501" s="12"/>
      <c r="C501" s="60"/>
      <c r="D501" s="60"/>
      <c r="E501" s="60"/>
    </row>
    <row r="502">
      <c r="A502" s="12"/>
      <c r="B502" s="12"/>
      <c r="C502" s="60"/>
      <c r="D502" s="60"/>
      <c r="E502" s="60"/>
    </row>
    <row r="503">
      <c r="A503" s="12"/>
      <c r="B503" s="12"/>
      <c r="C503" s="60"/>
      <c r="D503" s="60"/>
      <c r="E503" s="60"/>
    </row>
    <row r="504">
      <c r="A504" s="12"/>
      <c r="B504" s="12"/>
      <c r="C504" s="60"/>
      <c r="D504" s="60"/>
      <c r="E504" s="60"/>
    </row>
    <row r="505">
      <c r="A505" s="12"/>
      <c r="B505" s="12"/>
      <c r="C505" s="60"/>
      <c r="D505" s="60"/>
      <c r="E505" s="60"/>
    </row>
    <row r="506">
      <c r="A506" s="12"/>
      <c r="B506" s="12"/>
      <c r="C506" s="60"/>
      <c r="D506" s="60"/>
      <c r="E506" s="60"/>
    </row>
    <row r="507">
      <c r="A507" s="12"/>
      <c r="B507" s="12"/>
      <c r="C507" s="60"/>
      <c r="D507" s="60"/>
      <c r="E507" s="60"/>
    </row>
    <row r="508">
      <c r="A508" s="12"/>
      <c r="B508" s="12"/>
      <c r="C508" s="60"/>
      <c r="D508" s="60"/>
      <c r="E508" s="60"/>
    </row>
    <row r="509">
      <c r="A509" s="12"/>
      <c r="B509" s="12"/>
      <c r="C509" s="60"/>
      <c r="D509" s="60"/>
      <c r="E509" s="60"/>
    </row>
    <row r="510">
      <c r="A510" s="12"/>
      <c r="B510" s="12"/>
      <c r="C510" s="60"/>
      <c r="D510" s="60"/>
      <c r="E510" s="60"/>
    </row>
    <row r="511">
      <c r="A511" s="12"/>
      <c r="B511" s="12"/>
      <c r="C511" s="60"/>
      <c r="D511" s="60"/>
      <c r="E511" s="60"/>
    </row>
    <row r="512">
      <c r="A512" s="12"/>
      <c r="B512" s="12"/>
      <c r="C512" s="60"/>
      <c r="D512" s="60"/>
      <c r="E512" s="60"/>
    </row>
    <row r="513">
      <c r="A513" s="12"/>
      <c r="B513" s="12"/>
      <c r="C513" s="60"/>
      <c r="D513" s="60"/>
      <c r="E513" s="60"/>
    </row>
    <row r="514">
      <c r="A514" s="12"/>
      <c r="B514" s="12"/>
      <c r="C514" s="60"/>
      <c r="D514" s="60"/>
      <c r="E514" s="60"/>
    </row>
    <row r="515">
      <c r="A515" s="12"/>
      <c r="B515" s="12"/>
      <c r="C515" s="60"/>
      <c r="D515" s="60"/>
      <c r="E515" s="60"/>
    </row>
    <row r="516">
      <c r="A516" s="12"/>
      <c r="B516" s="12"/>
      <c r="C516" s="60"/>
      <c r="D516" s="60"/>
      <c r="E516" s="60"/>
    </row>
    <row r="517">
      <c r="A517" s="12"/>
      <c r="B517" s="12"/>
      <c r="C517" s="60"/>
      <c r="D517" s="60"/>
      <c r="E517" s="60"/>
    </row>
    <row r="518">
      <c r="A518" s="12"/>
      <c r="B518" s="12"/>
      <c r="C518" s="60"/>
      <c r="D518" s="60"/>
      <c r="E518" s="60"/>
    </row>
    <row r="519">
      <c r="A519" s="12"/>
      <c r="B519" s="12"/>
      <c r="C519" s="60"/>
      <c r="D519" s="60"/>
      <c r="E519" s="60"/>
    </row>
    <row r="520">
      <c r="A520" s="12"/>
      <c r="B520" s="12"/>
      <c r="C520" s="60"/>
      <c r="D520" s="60"/>
      <c r="E520" s="60"/>
    </row>
    <row r="521">
      <c r="A521" s="12"/>
      <c r="B521" s="12"/>
      <c r="C521" s="60"/>
      <c r="D521" s="60"/>
      <c r="E521" s="60"/>
    </row>
    <row r="522">
      <c r="A522" s="12"/>
      <c r="B522" s="12"/>
      <c r="C522" s="60"/>
      <c r="D522" s="60"/>
      <c r="E522" s="60"/>
    </row>
    <row r="523">
      <c r="A523" s="12"/>
      <c r="B523" s="12"/>
      <c r="C523" s="60"/>
      <c r="D523" s="60"/>
      <c r="E523" s="60"/>
    </row>
    <row r="524">
      <c r="A524" s="12"/>
      <c r="B524" s="12"/>
      <c r="C524" s="60"/>
      <c r="D524" s="60"/>
      <c r="E524" s="60"/>
    </row>
    <row r="525">
      <c r="A525" s="12"/>
      <c r="B525" s="12"/>
      <c r="C525" s="60"/>
      <c r="D525" s="60"/>
      <c r="E525" s="60"/>
    </row>
    <row r="526">
      <c r="A526" s="12"/>
      <c r="B526" s="12"/>
      <c r="C526" s="60"/>
      <c r="D526" s="60"/>
      <c r="E526" s="60"/>
    </row>
    <row r="527">
      <c r="A527" s="12"/>
      <c r="B527" s="12"/>
      <c r="C527" s="60"/>
      <c r="D527" s="60"/>
      <c r="E527" s="60"/>
    </row>
    <row r="528">
      <c r="A528" s="12"/>
      <c r="B528" s="12"/>
      <c r="C528" s="60"/>
      <c r="D528" s="60"/>
      <c r="E528" s="60"/>
    </row>
    <row r="529">
      <c r="A529" s="12"/>
      <c r="B529" s="12"/>
      <c r="C529" s="60"/>
      <c r="D529" s="60"/>
      <c r="E529" s="60"/>
    </row>
    <row r="530">
      <c r="A530" s="12"/>
      <c r="B530" s="12"/>
      <c r="C530" s="60"/>
      <c r="D530" s="60"/>
      <c r="E530" s="60"/>
    </row>
    <row r="531">
      <c r="A531" s="12"/>
      <c r="B531" s="12"/>
      <c r="C531" s="60"/>
      <c r="D531" s="60"/>
      <c r="E531" s="60"/>
    </row>
    <row r="532">
      <c r="A532" s="12"/>
      <c r="B532" s="12"/>
      <c r="C532" s="60"/>
      <c r="D532" s="60"/>
      <c r="E532" s="60"/>
    </row>
    <row r="533">
      <c r="A533" s="12"/>
      <c r="B533" s="12"/>
      <c r="C533" s="60"/>
      <c r="D533" s="60"/>
      <c r="E533" s="60"/>
    </row>
    <row r="534">
      <c r="A534" s="12"/>
      <c r="B534" s="12"/>
      <c r="C534" s="60"/>
      <c r="D534" s="60"/>
      <c r="E534" s="60"/>
    </row>
    <row r="535">
      <c r="A535" s="12"/>
      <c r="B535" s="12"/>
      <c r="C535" s="60"/>
      <c r="D535" s="60"/>
      <c r="E535" s="60"/>
    </row>
    <row r="536">
      <c r="A536" s="12"/>
      <c r="B536" s="12"/>
      <c r="C536" s="60"/>
      <c r="D536" s="60"/>
      <c r="E536" s="60"/>
    </row>
    <row r="537">
      <c r="A537" s="12"/>
      <c r="B537" s="12"/>
      <c r="C537" s="60"/>
      <c r="D537" s="60"/>
      <c r="E537" s="60"/>
    </row>
    <row r="538">
      <c r="A538" s="12"/>
      <c r="B538" s="12"/>
      <c r="C538" s="60"/>
      <c r="D538" s="60"/>
      <c r="E538" s="60"/>
    </row>
    <row r="539">
      <c r="A539" s="12"/>
      <c r="B539" s="12"/>
      <c r="C539" s="60"/>
      <c r="D539" s="60"/>
      <c r="E539" s="60"/>
    </row>
    <row r="540">
      <c r="A540" s="12"/>
      <c r="B540" s="12"/>
      <c r="C540" s="60"/>
      <c r="D540" s="60"/>
      <c r="E540" s="60"/>
    </row>
    <row r="541">
      <c r="A541" s="12"/>
      <c r="B541" s="12"/>
      <c r="C541" s="60"/>
      <c r="D541" s="60"/>
      <c r="E541" s="60"/>
    </row>
    <row r="542">
      <c r="A542" s="12"/>
      <c r="B542" s="12"/>
      <c r="C542" s="60"/>
      <c r="D542" s="60"/>
      <c r="E542" s="60"/>
    </row>
    <row r="543">
      <c r="A543" s="12"/>
      <c r="B543" s="12"/>
      <c r="C543" s="60"/>
      <c r="D543" s="60"/>
      <c r="E543" s="60"/>
    </row>
    <row r="544">
      <c r="A544" s="12"/>
      <c r="B544" s="12"/>
      <c r="C544" s="60"/>
      <c r="D544" s="60"/>
      <c r="E544" s="60"/>
    </row>
    <row r="545">
      <c r="A545" s="12"/>
      <c r="B545" s="12"/>
      <c r="C545" s="60"/>
      <c r="D545" s="60"/>
      <c r="E545" s="60"/>
    </row>
    <row r="546">
      <c r="A546" s="12"/>
      <c r="B546" s="12"/>
      <c r="C546" s="60"/>
      <c r="D546" s="60"/>
      <c r="E546" s="60"/>
    </row>
    <row r="547">
      <c r="A547" s="12"/>
      <c r="B547" s="12"/>
      <c r="C547" s="60"/>
      <c r="D547" s="60"/>
      <c r="E547" s="60"/>
    </row>
    <row r="548">
      <c r="A548" s="12"/>
      <c r="B548" s="12"/>
      <c r="C548" s="60"/>
      <c r="D548" s="60"/>
      <c r="E548" s="60"/>
    </row>
    <row r="549">
      <c r="A549" s="12"/>
      <c r="B549" s="12"/>
      <c r="C549" s="60"/>
      <c r="D549" s="60"/>
      <c r="E549" s="60"/>
    </row>
    <row r="550">
      <c r="A550" s="12"/>
      <c r="B550" s="12"/>
      <c r="C550" s="60"/>
      <c r="D550" s="60"/>
      <c r="E550" s="60"/>
    </row>
    <row r="551">
      <c r="A551" s="12"/>
      <c r="B551" s="12"/>
      <c r="C551" s="60"/>
      <c r="D551" s="60"/>
      <c r="E551" s="60"/>
    </row>
    <row r="552">
      <c r="A552" s="12"/>
      <c r="B552" s="12"/>
      <c r="C552" s="60"/>
      <c r="D552" s="60"/>
      <c r="E552" s="60"/>
    </row>
    <row r="553">
      <c r="A553" s="12"/>
      <c r="B553" s="12"/>
      <c r="C553" s="60"/>
      <c r="D553" s="60"/>
      <c r="E553" s="60"/>
    </row>
    <row r="554">
      <c r="A554" s="12"/>
      <c r="B554" s="12"/>
      <c r="C554" s="60"/>
      <c r="D554" s="60"/>
      <c r="E554" s="60"/>
    </row>
    <row r="555">
      <c r="A555" s="12"/>
      <c r="B555" s="12"/>
      <c r="C555" s="60"/>
      <c r="D555" s="60"/>
      <c r="E555" s="60"/>
    </row>
    <row r="556">
      <c r="A556" s="12"/>
      <c r="B556" s="12"/>
      <c r="C556" s="60"/>
      <c r="D556" s="60"/>
      <c r="E556" s="60"/>
    </row>
    <row r="557">
      <c r="A557" s="12"/>
      <c r="B557" s="12"/>
      <c r="C557" s="60"/>
      <c r="D557" s="60"/>
      <c r="E557" s="60"/>
    </row>
    <row r="558">
      <c r="A558" s="12"/>
      <c r="B558" s="12"/>
      <c r="C558" s="60"/>
      <c r="D558" s="60"/>
      <c r="E558" s="60"/>
    </row>
    <row r="559">
      <c r="A559" s="12"/>
      <c r="B559" s="12"/>
      <c r="C559" s="60"/>
      <c r="D559" s="60"/>
      <c r="E559" s="60"/>
    </row>
    <row r="560">
      <c r="A560" s="12"/>
      <c r="B560" s="12"/>
      <c r="C560" s="60"/>
      <c r="D560" s="60"/>
      <c r="E560" s="60"/>
    </row>
    <row r="561">
      <c r="A561" s="12"/>
      <c r="B561" s="12"/>
      <c r="C561" s="60"/>
      <c r="D561" s="60"/>
      <c r="E561" s="60"/>
    </row>
    <row r="562">
      <c r="A562" s="12"/>
      <c r="B562" s="12"/>
      <c r="C562" s="60"/>
      <c r="D562" s="60"/>
      <c r="E562" s="60"/>
    </row>
    <row r="563">
      <c r="A563" s="12"/>
      <c r="B563" s="12"/>
      <c r="C563" s="60"/>
      <c r="D563" s="60"/>
      <c r="E563" s="60"/>
    </row>
    <row r="564">
      <c r="A564" s="12"/>
      <c r="B564" s="12"/>
      <c r="C564" s="60"/>
      <c r="D564" s="60"/>
      <c r="E564" s="60"/>
    </row>
    <row r="565">
      <c r="A565" s="12"/>
      <c r="B565" s="12"/>
      <c r="C565" s="60"/>
      <c r="D565" s="60"/>
      <c r="E565" s="60"/>
    </row>
    <row r="566">
      <c r="A566" s="12"/>
      <c r="B566" s="12"/>
      <c r="C566" s="60"/>
      <c r="D566" s="60"/>
      <c r="E566" s="60"/>
    </row>
    <row r="567">
      <c r="A567" s="12"/>
      <c r="B567" s="12"/>
      <c r="C567" s="60"/>
      <c r="D567" s="60"/>
      <c r="E567" s="60"/>
    </row>
    <row r="568">
      <c r="A568" s="12"/>
      <c r="B568" s="12"/>
      <c r="C568" s="60"/>
      <c r="D568" s="60"/>
      <c r="E568" s="60"/>
    </row>
    <row r="569">
      <c r="A569" s="12"/>
      <c r="B569" s="12"/>
      <c r="C569" s="60"/>
      <c r="D569" s="60"/>
      <c r="E569" s="60"/>
    </row>
    <row r="570">
      <c r="A570" s="12"/>
      <c r="B570" s="12"/>
      <c r="C570" s="60"/>
      <c r="D570" s="60"/>
      <c r="E570" s="60"/>
    </row>
    <row r="571">
      <c r="A571" s="12"/>
      <c r="B571" s="12"/>
      <c r="C571" s="60"/>
      <c r="D571" s="60"/>
      <c r="E571" s="60"/>
    </row>
    <row r="572">
      <c r="A572" s="12"/>
      <c r="B572" s="12"/>
      <c r="C572" s="60"/>
      <c r="D572" s="60"/>
      <c r="E572" s="60"/>
    </row>
    <row r="573">
      <c r="A573" s="12"/>
      <c r="B573" s="12"/>
      <c r="C573" s="60"/>
      <c r="D573" s="60"/>
      <c r="E573" s="60"/>
    </row>
    <row r="574">
      <c r="A574" s="12"/>
      <c r="B574" s="12"/>
      <c r="C574" s="60"/>
      <c r="D574" s="60"/>
      <c r="E574" s="60"/>
    </row>
    <row r="575">
      <c r="A575" s="12"/>
      <c r="B575" s="12"/>
      <c r="C575" s="60"/>
      <c r="D575" s="60"/>
      <c r="E575" s="60"/>
    </row>
    <row r="576">
      <c r="A576" s="12"/>
      <c r="B576" s="12"/>
      <c r="C576" s="60"/>
      <c r="D576" s="60"/>
      <c r="E576" s="60"/>
    </row>
    <row r="577">
      <c r="A577" s="12"/>
      <c r="B577" s="12"/>
      <c r="C577" s="60"/>
      <c r="D577" s="60"/>
      <c r="E577" s="60"/>
    </row>
    <row r="578">
      <c r="A578" s="12"/>
      <c r="B578" s="12"/>
      <c r="C578" s="60"/>
      <c r="D578" s="60"/>
      <c r="E578" s="60"/>
    </row>
    <row r="579">
      <c r="A579" s="12"/>
      <c r="B579" s="12"/>
      <c r="C579" s="60"/>
      <c r="D579" s="60"/>
      <c r="E579" s="60"/>
    </row>
    <row r="580">
      <c r="A580" s="12"/>
      <c r="B580" s="12"/>
      <c r="C580" s="60"/>
      <c r="D580" s="60"/>
      <c r="E580" s="60"/>
    </row>
    <row r="581">
      <c r="A581" s="12"/>
      <c r="B581" s="12"/>
      <c r="C581" s="60"/>
      <c r="D581" s="60"/>
      <c r="E581" s="60"/>
    </row>
    <row r="582">
      <c r="A582" s="12"/>
      <c r="B582" s="12"/>
      <c r="C582" s="60"/>
      <c r="D582" s="60"/>
      <c r="E582" s="60"/>
    </row>
    <row r="583">
      <c r="A583" s="12"/>
      <c r="B583" s="12"/>
      <c r="C583" s="60"/>
      <c r="D583" s="60"/>
      <c r="E583" s="60"/>
    </row>
    <row r="584">
      <c r="A584" s="12"/>
      <c r="B584" s="12"/>
      <c r="C584" s="60"/>
      <c r="D584" s="60"/>
      <c r="E584" s="60"/>
    </row>
    <row r="585">
      <c r="A585" s="12"/>
      <c r="B585" s="12"/>
      <c r="C585" s="60"/>
      <c r="D585" s="60"/>
      <c r="E585" s="60"/>
    </row>
    <row r="586">
      <c r="A586" s="12"/>
      <c r="B586" s="12"/>
      <c r="C586" s="60"/>
      <c r="D586" s="60"/>
      <c r="E586" s="60"/>
    </row>
    <row r="587">
      <c r="A587" s="12"/>
      <c r="B587" s="12"/>
      <c r="C587" s="60"/>
      <c r="D587" s="60"/>
      <c r="E587" s="60"/>
    </row>
    <row r="588">
      <c r="A588" s="12"/>
      <c r="B588" s="12"/>
      <c r="C588" s="60"/>
      <c r="D588" s="60"/>
      <c r="E588" s="60"/>
    </row>
    <row r="589">
      <c r="A589" s="12"/>
      <c r="B589" s="12"/>
      <c r="C589" s="60"/>
      <c r="D589" s="60"/>
      <c r="E589" s="60"/>
    </row>
    <row r="590">
      <c r="A590" s="12"/>
      <c r="B590" s="12"/>
      <c r="C590" s="60"/>
      <c r="D590" s="60"/>
      <c r="E590" s="60"/>
    </row>
    <row r="591">
      <c r="A591" s="12"/>
      <c r="B591" s="12"/>
      <c r="C591" s="60"/>
      <c r="D591" s="60"/>
      <c r="E591" s="60"/>
    </row>
    <row r="592">
      <c r="A592" s="12"/>
      <c r="B592" s="12"/>
      <c r="C592" s="60"/>
      <c r="D592" s="60"/>
      <c r="E592" s="60"/>
    </row>
    <row r="593">
      <c r="A593" s="12"/>
      <c r="B593" s="12"/>
      <c r="C593" s="60"/>
      <c r="D593" s="60"/>
      <c r="E593" s="60"/>
    </row>
    <row r="594">
      <c r="A594" s="12"/>
      <c r="B594" s="12"/>
      <c r="C594" s="60"/>
      <c r="D594" s="60"/>
      <c r="E594" s="60"/>
    </row>
    <row r="595">
      <c r="A595" s="12"/>
      <c r="B595" s="12"/>
      <c r="C595" s="60"/>
      <c r="D595" s="60"/>
      <c r="E595" s="60"/>
    </row>
    <row r="596">
      <c r="A596" s="12"/>
      <c r="B596" s="12"/>
      <c r="C596" s="60"/>
      <c r="D596" s="60"/>
      <c r="E596" s="60"/>
    </row>
    <row r="597">
      <c r="A597" s="12"/>
      <c r="B597" s="12"/>
      <c r="C597" s="60"/>
      <c r="D597" s="60"/>
      <c r="E597" s="60"/>
    </row>
    <row r="598">
      <c r="A598" s="12"/>
      <c r="B598" s="12"/>
      <c r="C598" s="60"/>
      <c r="D598" s="60"/>
      <c r="E598" s="60"/>
    </row>
    <row r="599">
      <c r="A599" s="12"/>
      <c r="B599" s="12"/>
      <c r="C599" s="60"/>
      <c r="D599" s="60"/>
      <c r="E599" s="60"/>
    </row>
    <row r="600">
      <c r="A600" s="12"/>
      <c r="B600" s="12"/>
      <c r="C600" s="60"/>
      <c r="D600" s="60"/>
      <c r="E600" s="60"/>
    </row>
    <row r="601">
      <c r="A601" s="12"/>
      <c r="B601" s="12"/>
      <c r="C601" s="60"/>
      <c r="D601" s="60"/>
      <c r="E601" s="60"/>
    </row>
    <row r="602">
      <c r="A602" s="12"/>
      <c r="B602" s="12"/>
      <c r="C602" s="60"/>
      <c r="D602" s="60"/>
      <c r="E602" s="60"/>
    </row>
    <row r="603">
      <c r="A603" s="12"/>
      <c r="B603" s="12"/>
      <c r="C603" s="60"/>
      <c r="D603" s="60"/>
      <c r="E603" s="60"/>
    </row>
    <row r="604">
      <c r="A604" s="12"/>
      <c r="B604" s="12"/>
      <c r="C604" s="60"/>
      <c r="D604" s="60"/>
      <c r="E604" s="60"/>
    </row>
    <row r="605">
      <c r="A605" s="12"/>
      <c r="B605" s="12"/>
      <c r="C605" s="60"/>
      <c r="D605" s="60"/>
      <c r="E605" s="60"/>
    </row>
    <row r="606">
      <c r="A606" s="12"/>
      <c r="B606" s="12"/>
      <c r="C606" s="60"/>
      <c r="D606" s="60"/>
      <c r="E606" s="60"/>
    </row>
    <row r="607">
      <c r="A607" s="12"/>
      <c r="B607" s="12"/>
      <c r="C607" s="60"/>
      <c r="D607" s="60"/>
      <c r="E607" s="60"/>
    </row>
    <row r="608">
      <c r="A608" s="12"/>
      <c r="B608" s="12"/>
      <c r="C608" s="60"/>
      <c r="D608" s="60"/>
      <c r="E608" s="60"/>
    </row>
    <row r="609">
      <c r="A609" s="12"/>
      <c r="B609" s="12"/>
      <c r="C609" s="60"/>
      <c r="D609" s="60"/>
      <c r="E609" s="60"/>
    </row>
    <row r="610">
      <c r="A610" s="12"/>
      <c r="B610" s="12"/>
      <c r="C610" s="60"/>
      <c r="D610" s="60"/>
      <c r="E610" s="60"/>
    </row>
    <row r="611">
      <c r="A611" s="12"/>
      <c r="B611" s="12"/>
      <c r="C611" s="60"/>
      <c r="D611" s="60"/>
      <c r="E611" s="60"/>
    </row>
    <row r="612">
      <c r="A612" s="12"/>
      <c r="B612" s="12"/>
      <c r="C612" s="60"/>
      <c r="D612" s="60"/>
      <c r="E612" s="60"/>
    </row>
    <row r="613">
      <c r="A613" s="12"/>
      <c r="B613" s="12"/>
      <c r="C613" s="60"/>
      <c r="D613" s="60"/>
      <c r="E613" s="60"/>
    </row>
    <row r="614">
      <c r="A614" s="12"/>
      <c r="B614" s="12"/>
      <c r="C614" s="60"/>
      <c r="D614" s="60"/>
      <c r="E614" s="60"/>
    </row>
    <row r="615">
      <c r="A615" s="12"/>
      <c r="B615" s="12"/>
      <c r="C615" s="60"/>
      <c r="D615" s="60"/>
      <c r="E615" s="60"/>
    </row>
    <row r="616">
      <c r="A616" s="12"/>
      <c r="B616" s="12"/>
      <c r="C616" s="60"/>
      <c r="D616" s="60"/>
      <c r="E616" s="60"/>
    </row>
    <row r="617">
      <c r="A617" s="12"/>
      <c r="B617" s="12"/>
      <c r="C617" s="60"/>
      <c r="D617" s="60"/>
      <c r="E617" s="60"/>
    </row>
    <row r="618">
      <c r="A618" s="12"/>
      <c r="B618" s="12"/>
      <c r="C618" s="60"/>
      <c r="D618" s="60"/>
      <c r="E618" s="60"/>
    </row>
    <row r="619">
      <c r="A619" s="12"/>
      <c r="B619" s="12"/>
      <c r="C619" s="60"/>
      <c r="D619" s="60"/>
      <c r="E619" s="60"/>
    </row>
    <row r="620">
      <c r="A620" s="12"/>
      <c r="B620" s="12"/>
      <c r="C620" s="60"/>
      <c r="D620" s="60"/>
      <c r="E620" s="60"/>
    </row>
    <row r="621">
      <c r="A621" s="12"/>
      <c r="B621" s="12"/>
      <c r="C621" s="60"/>
      <c r="D621" s="60"/>
      <c r="E621" s="60"/>
    </row>
    <row r="622">
      <c r="A622" s="12"/>
      <c r="B622" s="12"/>
      <c r="C622" s="60"/>
      <c r="D622" s="60"/>
      <c r="E622" s="60"/>
    </row>
    <row r="623">
      <c r="A623" s="12"/>
      <c r="B623" s="12"/>
      <c r="C623" s="60"/>
      <c r="D623" s="60"/>
      <c r="E623" s="60"/>
    </row>
    <row r="624">
      <c r="A624" s="12"/>
      <c r="B624" s="12"/>
      <c r="C624" s="60"/>
      <c r="D624" s="60"/>
      <c r="E624" s="60"/>
    </row>
    <row r="625">
      <c r="A625" s="12"/>
      <c r="B625" s="12"/>
      <c r="C625" s="60"/>
      <c r="D625" s="60"/>
      <c r="E625" s="60"/>
    </row>
    <row r="626">
      <c r="A626" s="12"/>
      <c r="B626" s="12"/>
      <c r="C626" s="60"/>
      <c r="D626" s="60"/>
      <c r="E626" s="60"/>
    </row>
    <row r="627">
      <c r="A627" s="12"/>
      <c r="B627" s="12"/>
      <c r="C627" s="60"/>
      <c r="D627" s="60"/>
      <c r="E627" s="60"/>
    </row>
    <row r="628">
      <c r="A628" s="12"/>
      <c r="B628" s="12"/>
      <c r="C628" s="60"/>
      <c r="D628" s="60"/>
      <c r="E628" s="60"/>
    </row>
    <row r="629">
      <c r="A629" s="12"/>
      <c r="B629" s="12"/>
      <c r="C629" s="60"/>
      <c r="D629" s="60"/>
      <c r="E629" s="60"/>
    </row>
    <row r="630">
      <c r="A630" s="12"/>
      <c r="B630" s="12"/>
      <c r="C630" s="60"/>
      <c r="D630" s="60"/>
      <c r="E630" s="60"/>
    </row>
    <row r="631">
      <c r="A631" s="12"/>
      <c r="B631" s="12"/>
      <c r="C631" s="60"/>
      <c r="D631" s="60"/>
      <c r="E631" s="60"/>
    </row>
    <row r="632">
      <c r="A632" s="12"/>
      <c r="B632" s="12"/>
      <c r="C632" s="60"/>
      <c r="D632" s="60"/>
      <c r="E632" s="60"/>
    </row>
    <row r="633">
      <c r="A633" s="12"/>
      <c r="B633" s="12"/>
      <c r="C633" s="60"/>
      <c r="D633" s="60"/>
      <c r="E633" s="60"/>
    </row>
    <row r="634">
      <c r="A634" s="12"/>
      <c r="B634" s="12"/>
      <c r="C634" s="60"/>
      <c r="D634" s="60"/>
      <c r="E634" s="60"/>
    </row>
    <row r="635">
      <c r="A635" s="12"/>
      <c r="B635" s="12"/>
      <c r="C635" s="60"/>
      <c r="D635" s="60"/>
      <c r="E635" s="60"/>
    </row>
    <row r="636">
      <c r="A636" s="12"/>
      <c r="B636" s="12"/>
      <c r="C636" s="60"/>
      <c r="D636" s="60"/>
      <c r="E636" s="60"/>
    </row>
    <row r="637">
      <c r="A637" s="12"/>
      <c r="B637" s="12"/>
      <c r="C637" s="60"/>
      <c r="D637" s="60"/>
      <c r="E637" s="60"/>
    </row>
    <row r="638">
      <c r="A638" s="12"/>
      <c r="B638" s="12"/>
      <c r="C638" s="60"/>
      <c r="D638" s="60"/>
      <c r="E638" s="60"/>
    </row>
    <row r="639">
      <c r="A639" s="12"/>
      <c r="B639" s="12"/>
      <c r="C639" s="60"/>
      <c r="D639" s="60"/>
      <c r="E639" s="60"/>
    </row>
    <row r="640">
      <c r="A640" s="12"/>
      <c r="B640" s="12"/>
      <c r="C640" s="60"/>
      <c r="D640" s="60"/>
      <c r="E640" s="60"/>
    </row>
    <row r="641">
      <c r="A641" s="12"/>
      <c r="B641" s="12"/>
      <c r="C641" s="60"/>
      <c r="D641" s="60"/>
      <c r="E641" s="60"/>
    </row>
    <row r="642">
      <c r="A642" s="12"/>
      <c r="B642" s="12"/>
      <c r="C642" s="60"/>
      <c r="D642" s="60"/>
      <c r="E642" s="60"/>
    </row>
    <row r="643">
      <c r="A643" s="12"/>
      <c r="B643" s="12"/>
      <c r="C643" s="60"/>
      <c r="D643" s="60"/>
      <c r="E643" s="60"/>
    </row>
    <row r="644">
      <c r="A644" s="12"/>
      <c r="B644" s="12"/>
      <c r="C644" s="60"/>
      <c r="D644" s="60"/>
      <c r="E644" s="60"/>
    </row>
    <row r="645">
      <c r="A645" s="12"/>
      <c r="B645" s="12"/>
      <c r="C645" s="60"/>
      <c r="D645" s="60"/>
      <c r="E645" s="60"/>
    </row>
    <row r="646">
      <c r="A646" s="12"/>
      <c r="B646" s="12"/>
      <c r="C646" s="60"/>
      <c r="D646" s="60"/>
      <c r="E646" s="60"/>
    </row>
    <row r="647">
      <c r="A647" s="12"/>
      <c r="B647" s="12"/>
      <c r="C647" s="60"/>
      <c r="D647" s="60"/>
      <c r="E647" s="60"/>
    </row>
    <row r="648">
      <c r="A648" s="12"/>
      <c r="B648" s="12"/>
      <c r="C648" s="60"/>
      <c r="D648" s="60"/>
      <c r="E648" s="60"/>
    </row>
    <row r="649">
      <c r="A649" s="12"/>
      <c r="B649" s="12"/>
      <c r="C649" s="60"/>
      <c r="D649" s="60"/>
      <c r="E649" s="60"/>
    </row>
    <row r="650">
      <c r="A650" s="12"/>
      <c r="B650" s="12"/>
      <c r="C650" s="60"/>
      <c r="D650" s="60"/>
      <c r="E650" s="60"/>
    </row>
    <row r="651">
      <c r="A651" s="12"/>
      <c r="B651" s="12"/>
      <c r="C651" s="60"/>
      <c r="D651" s="60"/>
      <c r="E651" s="60"/>
    </row>
    <row r="652">
      <c r="A652" s="12"/>
      <c r="B652" s="12"/>
      <c r="C652" s="60"/>
      <c r="D652" s="60"/>
      <c r="E652" s="60"/>
    </row>
    <row r="653">
      <c r="A653" s="12"/>
      <c r="B653" s="12"/>
      <c r="C653" s="60"/>
      <c r="D653" s="60"/>
      <c r="E653" s="60"/>
    </row>
    <row r="654">
      <c r="A654" s="12"/>
      <c r="B654" s="12"/>
      <c r="C654" s="60"/>
      <c r="D654" s="60"/>
      <c r="E654" s="60"/>
    </row>
    <row r="655">
      <c r="A655" s="12"/>
      <c r="B655" s="12"/>
      <c r="C655" s="60"/>
      <c r="D655" s="60"/>
      <c r="E655" s="60"/>
    </row>
    <row r="656">
      <c r="A656" s="12"/>
      <c r="B656" s="12"/>
      <c r="C656" s="60"/>
      <c r="D656" s="60"/>
      <c r="E656" s="60"/>
    </row>
    <row r="657">
      <c r="A657" s="12"/>
      <c r="B657" s="12"/>
      <c r="C657" s="60"/>
      <c r="D657" s="60"/>
      <c r="E657" s="60"/>
    </row>
    <row r="658">
      <c r="A658" s="12"/>
      <c r="B658" s="12"/>
      <c r="C658" s="60"/>
      <c r="D658" s="60"/>
      <c r="E658" s="60"/>
    </row>
    <row r="659">
      <c r="A659" s="12"/>
      <c r="B659" s="12"/>
      <c r="C659" s="60"/>
      <c r="D659" s="60"/>
      <c r="E659" s="60"/>
    </row>
    <row r="660">
      <c r="A660" s="12"/>
      <c r="B660" s="12"/>
      <c r="C660" s="60"/>
      <c r="D660" s="60"/>
      <c r="E660" s="60"/>
    </row>
    <row r="661">
      <c r="A661" s="12"/>
      <c r="B661" s="12"/>
      <c r="C661" s="60"/>
      <c r="D661" s="60"/>
      <c r="E661" s="60"/>
    </row>
    <row r="662">
      <c r="A662" s="12"/>
      <c r="B662" s="12"/>
      <c r="C662" s="60"/>
      <c r="D662" s="60"/>
      <c r="E662" s="60"/>
    </row>
    <row r="663">
      <c r="A663" s="12"/>
      <c r="B663" s="12"/>
      <c r="C663" s="60"/>
      <c r="D663" s="60"/>
      <c r="E663" s="60"/>
    </row>
    <row r="664">
      <c r="A664" s="12"/>
      <c r="B664" s="12"/>
      <c r="C664" s="60"/>
      <c r="D664" s="60"/>
      <c r="E664" s="60"/>
    </row>
    <row r="665">
      <c r="A665" s="12"/>
      <c r="B665" s="12"/>
      <c r="C665" s="60"/>
      <c r="D665" s="60"/>
      <c r="E665" s="60"/>
    </row>
    <row r="666">
      <c r="A666" s="12"/>
      <c r="B666" s="12"/>
      <c r="C666" s="60"/>
      <c r="D666" s="60"/>
      <c r="E666" s="60"/>
    </row>
    <row r="667">
      <c r="A667" s="12"/>
      <c r="B667" s="12"/>
      <c r="C667" s="60"/>
      <c r="D667" s="60"/>
      <c r="E667" s="60"/>
    </row>
    <row r="668">
      <c r="A668" s="12"/>
      <c r="B668" s="12"/>
      <c r="C668" s="60"/>
      <c r="D668" s="60"/>
      <c r="E668" s="60"/>
    </row>
    <row r="669">
      <c r="A669" s="12"/>
      <c r="B669" s="12"/>
      <c r="C669" s="60"/>
      <c r="D669" s="60"/>
      <c r="E669" s="60"/>
    </row>
    <row r="670">
      <c r="A670" s="12"/>
      <c r="B670" s="12"/>
      <c r="C670" s="60"/>
      <c r="D670" s="60"/>
      <c r="E670" s="60"/>
    </row>
    <row r="671">
      <c r="A671" s="12"/>
      <c r="B671" s="12"/>
      <c r="C671" s="60"/>
      <c r="D671" s="60"/>
      <c r="E671" s="60"/>
    </row>
    <row r="672">
      <c r="A672" s="12"/>
      <c r="B672" s="12"/>
      <c r="C672" s="60"/>
      <c r="D672" s="60"/>
      <c r="E672" s="60"/>
    </row>
    <row r="673">
      <c r="A673" s="12"/>
      <c r="B673" s="12"/>
      <c r="C673" s="60"/>
      <c r="D673" s="60"/>
      <c r="E673" s="60"/>
    </row>
    <row r="674">
      <c r="A674" s="12"/>
      <c r="B674" s="12"/>
      <c r="C674" s="60"/>
      <c r="D674" s="60"/>
      <c r="E674" s="60"/>
    </row>
    <row r="675">
      <c r="A675" s="12"/>
      <c r="B675" s="12"/>
      <c r="C675" s="60"/>
      <c r="D675" s="60"/>
      <c r="E675" s="60"/>
    </row>
    <row r="676">
      <c r="A676" s="12"/>
      <c r="B676" s="12"/>
      <c r="C676" s="60"/>
      <c r="D676" s="60"/>
      <c r="E676" s="60"/>
    </row>
    <row r="677">
      <c r="A677" s="12"/>
      <c r="B677" s="12"/>
      <c r="C677" s="60"/>
      <c r="D677" s="60"/>
      <c r="E677" s="60"/>
    </row>
    <row r="678">
      <c r="A678" s="12"/>
      <c r="B678" s="12"/>
      <c r="C678" s="60"/>
      <c r="D678" s="60"/>
      <c r="E678" s="60"/>
    </row>
    <row r="679">
      <c r="A679" s="12"/>
      <c r="B679" s="12"/>
      <c r="C679" s="60"/>
      <c r="D679" s="60"/>
      <c r="E679" s="60"/>
    </row>
    <row r="680">
      <c r="A680" s="12"/>
      <c r="B680" s="12"/>
      <c r="C680" s="60"/>
      <c r="D680" s="60"/>
      <c r="E680" s="60"/>
    </row>
    <row r="681">
      <c r="A681" s="12"/>
      <c r="B681" s="12"/>
      <c r="C681" s="60"/>
      <c r="D681" s="60"/>
      <c r="E681" s="60"/>
    </row>
    <row r="682">
      <c r="A682" s="12"/>
      <c r="B682" s="12"/>
      <c r="C682" s="60"/>
      <c r="D682" s="60"/>
      <c r="E682" s="60"/>
    </row>
    <row r="683">
      <c r="A683" s="12"/>
      <c r="B683" s="12"/>
      <c r="C683" s="60"/>
      <c r="D683" s="60"/>
      <c r="E683" s="60"/>
    </row>
    <row r="684">
      <c r="A684" s="12"/>
      <c r="B684" s="12"/>
      <c r="C684" s="60"/>
      <c r="D684" s="60"/>
      <c r="E684" s="60"/>
    </row>
    <row r="685">
      <c r="A685" s="12"/>
      <c r="B685" s="12"/>
      <c r="C685" s="60"/>
      <c r="D685" s="60"/>
      <c r="E685" s="60"/>
    </row>
    <row r="686">
      <c r="A686" s="12"/>
      <c r="B686" s="12"/>
      <c r="C686" s="60"/>
      <c r="D686" s="60"/>
      <c r="E686" s="60"/>
    </row>
    <row r="687">
      <c r="A687" s="12"/>
      <c r="B687" s="12"/>
      <c r="C687" s="60"/>
      <c r="D687" s="60"/>
      <c r="E687" s="60"/>
    </row>
    <row r="688">
      <c r="A688" s="12"/>
      <c r="B688" s="12"/>
      <c r="C688" s="60"/>
      <c r="D688" s="60"/>
      <c r="E688" s="60"/>
    </row>
    <row r="689">
      <c r="A689" s="12"/>
      <c r="B689" s="12"/>
      <c r="C689" s="60"/>
      <c r="D689" s="60"/>
      <c r="E689" s="60"/>
    </row>
    <row r="690">
      <c r="A690" s="12"/>
      <c r="B690" s="12"/>
      <c r="C690" s="60"/>
      <c r="D690" s="60"/>
      <c r="E690" s="60"/>
    </row>
    <row r="691">
      <c r="A691" s="12"/>
      <c r="B691" s="12"/>
      <c r="C691" s="60"/>
      <c r="D691" s="60"/>
      <c r="E691" s="60"/>
    </row>
    <row r="692">
      <c r="A692" s="12"/>
      <c r="B692" s="12"/>
      <c r="C692" s="60"/>
      <c r="D692" s="60"/>
      <c r="E692" s="60"/>
    </row>
    <row r="693">
      <c r="A693" s="12"/>
      <c r="B693" s="12"/>
      <c r="C693" s="60"/>
      <c r="D693" s="60"/>
      <c r="E693" s="60"/>
    </row>
    <row r="694">
      <c r="A694" s="12"/>
      <c r="B694" s="12"/>
      <c r="C694" s="60"/>
      <c r="D694" s="60"/>
      <c r="E694" s="60"/>
    </row>
    <row r="695">
      <c r="A695" s="12"/>
      <c r="B695" s="12"/>
      <c r="C695" s="60"/>
      <c r="D695" s="60"/>
      <c r="E695" s="60"/>
    </row>
    <row r="696">
      <c r="A696" s="12"/>
      <c r="B696" s="12"/>
      <c r="C696" s="60"/>
      <c r="D696" s="60"/>
      <c r="E696" s="60"/>
    </row>
    <row r="697">
      <c r="A697" s="12"/>
      <c r="B697" s="12"/>
      <c r="C697" s="60"/>
      <c r="D697" s="60"/>
      <c r="E697" s="60"/>
    </row>
    <row r="698">
      <c r="A698" s="12"/>
      <c r="B698" s="12"/>
      <c r="C698" s="60"/>
      <c r="D698" s="60"/>
      <c r="E698" s="60"/>
    </row>
    <row r="699">
      <c r="A699" s="12"/>
      <c r="B699" s="12"/>
      <c r="C699" s="60"/>
      <c r="D699" s="60"/>
      <c r="E699" s="60"/>
    </row>
    <row r="700">
      <c r="A700" s="12"/>
      <c r="B700" s="12"/>
      <c r="C700" s="60"/>
      <c r="D700" s="60"/>
      <c r="E700" s="60"/>
    </row>
    <row r="701">
      <c r="A701" s="12"/>
      <c r="B701" s="12"/>
      <c r="C701" s="60"/>
      <c r="D701" s="60"/>
      <c r="E701" s="60"/>
    </row>
    <row r="702">
      <c r="A702" s="12"/>
      <c r="B702" s="12"/>
      <c r="C702" s="60"/>
      <c r="D702" s="60"/>
      <c r="E702" s="60"/>
    </row>
    <row r="703">
      <c r="A703" s="12"/>
      <c r="B703" s="12"/>
      <c r="C703" s="60"/>
      <c r="D703" s="60"/>
      <c r="E703" s="60"/>
    </row>
    <row r="704">
      <c r="A704" s="12"/>
      <c r="B704" s="12"/>
      <c r="C704" s="60"/>
      <c r="D704" s="60"/>
      <c r="E704" s="60"/>
    </row>
    <row r="705">
      <c r="A705" s="12"/>
      <c r="B705" s="12"/>
      <c r="C705" s="60"/>
      <c r="D705" s="60"/>
      <c r="E705" s="60"/>
    </row>
    <row r="706">
      <c r="A706" s="12"/>
      <c r="B706" s="12"/>
      <c r="C706" s="60"/>
      <c r="D706" s="60"/>
      <c r="E706" s="60"/>
    </row>
    <row r="707">
      <c r="A707" s="12"/>
      <c r="B707" s="12"/>
      <c r="C707" s="60"/>
      <c r="D707" s="60"/>
      <c r="E707" s="60"/>
    </row>
    <row r="708">
      <c r="A708" s="12"/>
      <c r="B708" s="12"/>
      <c r="C708" s="60"/>
      <c r="D708" s="60"/>
      <c r="E708" s="60"/>
    </row>
    <row r="709">
      <c r="A709" s="12"/>
      <c r="B709" s="12"/>
      <c r="C709" s="60"/>
      <c r="D709" s="60"/>
      <c r="E709" s="60"/>
    </row>
    <row r="710">
      <c r="A710" s="12"/>
      <c r="B710" s="12"/>
      <c r="C710" s="60"/>
      <c r="D710" s="60"/>
      <c r="E710" s="60"/>
    </row>
    <row r="711">
      <c r="A711" s="12"/>
      <c r="B711" s="12"/>
      <c r="C711" s="60"/>
      <c r="D711" s="60"/>
      <c r="E711" s="60"/>
    </row>
    <row r="712">
      <c r="A712" s="12"/>
      <c r="B712" s="12"/>
      <c r="C712" s="60"/>
      <c r="D712" s="60"/>
      <c r="E712" s="60"/>
    </row>
    <row r="713">
      <c r="A713" s="12"/>
      <c r="B713" s="12"/>
      <c r="C713" s="60"/>
      <c r="D713" s="60"/>
      <c r="E713" s="60"/>
    </row>
    <row r="714">
      <c r="A714" s="12"/>
      <c r="B714" s="12"/>
      <c r="C714" s="60"/>
      <c r="D714" s="60"/>
      <c r="E714" s="60"/>
    </row>
    <row r="715">
      <c r="A715" s="12"/>
      <c r="B715" s="12"/>
      <c r="C715" s="60"/>
      <c r="D715" s="60"/>
      <c r="E715" s="60"/>
    </row>
    <row r="716">
      <c r="A716" s="12"/>
      <c r="B716" s="12"/>
      <c r="C716" s="60"/>
      <c r="D716" s="60"/>
      <c r="E716" s="60"/>
    </row>
    <row r="717">
      <c r="A717" s="12"/>
      <c r="B717" s="12"/>
      <c r="C717" s="60"/>
      <c r="D717" s="60"/>
      <c r="E717" s="60"/>
    </row>
    <row r="718">
      <c r="A718" s="12"/>
      <c r="B718" s="12"/>
      <c r="C718" s="60"/>
      <c r="D718" s="60"/>
      <c r="E718" s="60"/>
    </row>
    <row r="719">
      <c r="A719" s="12"/>
      <c r="B719" s="12"/>
      <c r="C719" s="60"/>
      <c r="D719" s="60"/>
      <c r="E719" s="60"/>
    </row>
    <row r="720">
      <c r="A720" s="12"/>
      <c r="B720" s="12"/>
      <c r="C720" s="60"/>
      <c r="D720" s="60"/>
      <c r="E720" s="60"/>
    </row>
    <row r="721">
      <c r="A721" s="12"/>
      <c r="B721" s="12"/>
      <c r="C721" s="60"/>
      <c r="D721" s="60"/>
      <c r="E721" s="60"/>
    </row>
    <row r="722">
      <c r="A722" s="12"/>
      <c r="B722" s="12"/>
      <c r="C722" s="60"/>
      <c r="D722" s="60"/>
      <c r="E722" s="60"/>
    </row>
    <row r="723">
      <c r="A723" s="12"/>
      <c r="B723" s="12"/>
      <c r="C723" s="60"/>
      <c r="D723" s="60"/>
      <c r="E723" s="60"/>
    </row>
    <row r="724">
      <c r="A724" s="12"/>
      <c r="B724" s="12"/>
      <c r="C724" s="60"/>
      <c r="D724" s="60"/>
      <c r="E724" s="60"/>
    </row>
    <row r="725">
      <c r="A725" s="12"/>
      <c r="B725" s="12"/>
      <c r="C725" s="60"/>
      <c r="D725" s="60"/>
      <c r="E725" s="60"/>
    </row>
    <row r="726">
      <c r="A726" s="12"/>
      <c r="B726" s="12"/>
      <c r="C726" s="60"/>
      <c r="D726" s="60"/>
      <c r="E726" s="60"/>
    </row>
    <row r="727">
      <c r="A727" s="12"/>
      <c r="B727" s="12"/>
      <c r="C727" s="60"/>
      <c r="D727" s="60"/>
      <c r="E727" s="60"/>
    </row>
    <row r="728">
      <c r="A728" s="12"/>
      <c r="B728" s="12"/>
      <c r="C728" s="60"/>
      <c r="D728" s="60"/>
      <c r="E728" s="60"/>
    </row>
    <row r="729">
      <c r="A729" s="12"/>
      <c r="B729" s="12"/>
      <c r="C729" s="60"/>
      <c r="D729" s="60"/>
      <c r="E729" s="60"/>
    </row>
    <row r="730">
      <c r="A730" s="12"/>
      <c r="B730" s="12"/>
      <c r="C730" s="60"/>
      <c r="D730" s="60"/>
      <c r="E730" s="60"/>
    </row>
    <row r="731">
      <c r="A731" s="12"/>
      <c r="B731" s="12"/>
      <c r="C731" s="60"/>
      <c r="D731" s="60"/>
      <c r="E731" s="60"/>
    </row>
    <row r="732">
      <c r="A732" s="12"/>
      <c r="B732" s="12"/>
      <c r="C732" s="60"/>
      <c r="D732" s="60"/>
      <c r="E732" s="60"/>
    </row>
    <row r="733">
      <c r="A733" s="12"/>
      <c r="B733" s="12"/>
      <c r="C733" s="60"/>
      <c r="D733" s="60"/>
      <c r="E733" s="60"/>
    </row>
    <row r="734">
      <c r="A734" s="12"/>
      <c r="B734" s="12"/>
      <c r="C734" s="60"/>
      <c r="D734" s="60"/>
      <c r="E734" s="60"/>
    </row>
    <row r="735">
      <c r="A735" s="12"/>
      <c r="B735" s="12"/>
      <c r="C735" s="60"/>
      <c r="D735" s="60"/>
      <c r="E735" s="60"/>
    </row>
    <row r="736">
      <c r="A736" s="12"/>
      <c r="B736" s="12"/>
      <c r="C736" s="60"/>
      <c r="D736" s="60"/>
      <c r="E736" s="60"/>
    </row>
    <row r="737">
      <c r="A737" s="12"/>
      <c r="B737" s="12"/>
      <c r="C737" s="60"/>
      <c r="D737" s="60"/>
      <c r="E737" s="60"/>
    </row>
    <row r="738">
      <c r="A738" s="12"/>
      <c r="B738" s="12"/>
      <c r="C738" s="60"/>
      <c r="D738" s="60"/>
      <c r="E738" s="60"/>
    </row>
    <row r="739">
      <c r="A739" s="12"/>
      <c r="B739" s="12"/>
      <c r="C739" s="60"/>
      <c r="D739" s="60"/>
      <c r="E739" s="60"/>
    </row>
    <row r="740">
      <c r="A740" s="12"/>
      <c r="B740" s="12"/>
      <c r="C740" s="60"/>
      <c r="D740" s="60"/>
      <c r="E740" s="60"/>
    </row>
    <row r="741">
      <c r="A741" s="12"/>
      <c r="B741" s="12"/>
      <c r="C741" s="60"/>
      <c r="D741" s="60"/>
      <c r="E741" s="60"/>
    </row>
    <row r="742">
      <c r="A742" s="12"/>
      <c r="B742" s="12"/>
      <c r="C742" s="60"/>
      <c r="D742" s="60"/>
      <c r="E742" s="60"/>
    </row>
    <row r="743">
      <c r="A743" s="12"/>
      <c r="B743" s="12"/>
      <c r="C743" s="60"/>
      <c r="D743" s="60"/>
      <c r="E743" s="60"/>
    </row>
    <row r="744">
      <c r="A744" s="12"/>
      <c r="B744" s="12"/>
      <c r="C744" s="60"/>
      <c r="D744" s="60"/>
      <c r="E744" s="60"/>
    </row>
    <row r="745">
      <c r="A745" s="12"/>
      <c r="B745" s="12"/>
      <c r="C745" s="60"/>
      <c r="D745" s="60"/>
      <c r="E745" s="60"/>
    </row>
    <row r="746">
      <c r="A746" s="12"/>
      <c r="B746" s="12"/>
      <c r="C746" s="60"/>
      <c r="D746" s="60"/>
      <c r="E746" s="60"/>
    </row>
    <row r="747">
      <c r="A747" s="12"/>
      <c r="B747" s="12"/>
      <c r="C747" s="60"/>
      <c r="D747" s="60"/>
      <c r="E747" s="60"/>
    </row>
    <row r="748">
      <c r="A748" s="12"/>
      <c r="B748" s="12"/>
      <c r="C748" s="60"/>
      <c r="D748" s="60"/>
      <c r="E748" s="60"/>
    </row>
    <row r="749">
      <c r="A749" s="12"/>
      <c r="B749" s="12"/>
      <c r="C749" s="60"/>
      <c r="D749" s="60"/>
      <c r="E749" s="60"/>
    </row>
    <row r="750">
      <c r="A750" s="12"/>
      <c r="B750" s="12"/>
      <c r="C750" s="60"/>
      <c r="D750" s="60"/>
      <c r="E750" s="60"/>
    </row>
    <row r="751">
      <c r="A751" s="12"/>
      <c r="B751" s="12"/>
      <c r="C751" s="60"/>
      <c r="D751" s="60"/>
      <c r="E751" s="60"/>
    </row>
    <row r="752">
      <c r="A752" s="12"/>
      <c r="B752" s="12"/>
      <c r="C752" s="60"/>
      <c r="D752" s="60"/>
      <c r="E752" s="60"/>
    </row>
    <row r="753">
      <c r="A753" s="12"/>
      <c r="B753" s="12"/>
      <c r="C753" s="60"/>
      <c r="D753" s="60"/>
      <c r="E753" s="60"/>
    </row>
    <row r="754">
      <c r="A754" s="12"/>
      <c r="B754" s="12"/>
      <c r="C754" s="60"/>
      <c r="D754" s="60"/>
      <c r="E754" s="60"/>
    </row>
    <row r="755">
      <c r="A755" s="12"/>
      <c r="B755" s="12"/>
      <c r="C755" s="60"/>
      <c r="D755" s="60"/>
      <c r="E755" s="60"/>
    </row>
    <row r="756">
      <c r="A756" s="12"/>
      <c r="B756" s="12"/>
      <c r="C756" s="60"/>
      <c r="D756" s="60"/>
      <c r="E756" s="60"/>
    </row>
    <row r="757">
      <c r="A757" s="12"/>
      <c r="B757" s="12"/>
      <c r="C757" s="60"/>
      <c r="D757" s="60"/>
      <c r="E757" s="60"/>
    </row>
    <row r="758">
      <c r="A758" s="12"/>
      <c r="B758" s="12"/>
      <c r="C758" s="60"/>
      <c r="D758" s="60"/>
      <c r="E758" s="60"/>
    </row>
    <row r="759">
      <c r="A759" s="12"/>
      <c r="B759" s="12"/>
      <c r="C759" s="60"/>
      <c r="D759" s="60"/>
      <c r="E759" s="60"/>
    </row>
    <row r="760">
      <c r="A760" s="12"/>
      <c r="B760" s="12"/>
      <c r="C760" s="60"/>
      <c r="D760" s="60"/>
      <c r="E760" s="60"/>
    </row>
    <row r="761">
      <c r="A761" s="12"/>
      <c r="B761" s="12"/>
      <c r="C761" s="60"/>
      <c r="D761" s="60"/>
      <c r="E761" s="60"/>
    </row>
    <row r="762">
      <c r="A762" s="12"/>
      <c r="B762" s="12"/>
      <c r="C762" s="60"/>
      <c r="D762" s="60"/>
      <c r="E762" s="60"/>
    </row>
    <row r="763">
      <c r="A763" s="12"/>
      <c r="B763" s="12"/>
      <c r="C763" s="60"/>
      <c r="D763" s="60"/>
      <c r="E763" s="60"/>
    </row>
    <row r="764">
      <c r="A764" s="12"/>
      <c r="B764" s="12"/>
      <c r="C764" s="60"/>
      <c r="D764" s="60"/>
      <c r="E764" s="60"/>
    </row>
    <row r="765">
      <c r="A765" s="12"/>
      <c r="B765" s="12"/>
      <c r="C765" s="60"/>
      <c r="D765" s="60"/>
      <c r="E765" s="60"/>
    </row>
    <row r="766">
      <c r="A766" s="12"/>
      <c r="B766" s="12"/>
      <c r="C766" s="60"/>
      <c r="D766" s="60"/>
      <c r="E766" s="60"/>
    </row>
    <row r="767">
      <c r="A767" s="12"/>
      <c r="B767" s="12"/>
      <c r="C767" s="60"/>
      <c r="D767" s="60"/>
      <c r="E767" s="60"/>
    </row>
    <row r="768">
      <c r="A768" s="12"/>
      <c r="B768" s="12"/>
      <c r="C768" s="60"/>
      <c r="D768" s="60"/>
      <c r="E768" s="60"/>
    </row>
    <row r="769">
      <c r="A769" s="12"/>
      <c r="B769" s="12"/>
      <c r="C769" s="60"/>
      <c r="D769" s="60"/>
      <c r="E769" s="60"/>
    </row>
    <row r="770">
      <c r="A770" s="12"/>
      <c r="B770" s="12"/>
      <c r="C770" s="60"/>
      <c r="D770" s="60"/>
      <c r="E770" s="60"/>
    </row>
    <row r="771">
      <c r="A771" s="12"/>
      <c r="B771" s="12"/>
      <c r="C771" s="60"/>
      <c r="D771" s="60"/>
      <c r="E771" s="60"/>
    </row>
    <row r="772">
      <c r="A772" s="12"/>
      <c r="B772" s="12"/>
      <c r="C772" s="60"/>
      <c r="D772" s="60"/>
      <c r="E772" s="60"/>
    </row>
    <row r="773">
      <c r="A773" s="12"/>
      <c r="B773" s="12"/>
      <c r="C773" s="60"/>
      <c r="D773" s="60"/>
      <c r="E773" s="60"/>
    </row>
    <row r="774">
      <c r="A774" s="12"/>
      <c r="B774" s="12"/>
      <c r="C774" s="60"/>
      <c r="D774" s="60"/>
      <c r="E774" s="60"/>
    </row>
    <row r="775">
      <c r="A775" s="12"/>
      <c r="B775" s="12"/>
      <c r="C775" s="60"/>
      <c r="D775" s="60"/>
      <c r="E775" s="60"/>
    </row>
    <row r="776">
      <c r="A776" s="12"/>
      <c r="B776" s="12"/>
      <c r="C776" s="60"/>
      <c r="D776" s="60"/>
      <c r="E776" s="60"/>
    </row>
    <row r="777">
      <c r="A777" s="12"/>
      <c r="B777" s="12"/>
      <c r="C777" s="60"/>
      <c r="D777" s="60"/>
      <c r="E777" s="60"/>
    </row>
    <row r="778">
      <c r="A778" s="12"/>
      <c r="B778" s="12"/>
      <c r="C778" s="60"/>
      <c r="D778" s="60"/>
      <c r="E778" s="60"/>
    </row>
    <row r="779">
      <c r="A779" s="12"/>
      <c r="B779" s="12"/>
      <c r="C779" s="60"/>
      <c r="D779" s="60"/>
      <c r="E779" s="60"/>
    </row>
    <row r="780">
      <c r="A780" s="12"/>
      <c r="B780" s="12"/>
      <c r="C780" s="60"/>
      <c r="D780" s="60"/>
      <c r="E780" s="60"/>
    </row>
    <row r="781">
      <c r="A781" s="12"/>
      <c r="B781" s="12"/>
      <c r="C781" s="60"/>
      <c r="D781" s="60"/>
      <c r="E781" s="60"/>
    </row>
    <row r="782">
      <c r="A782" s="12"/>
      <c r="B782" s="12"/>
      <c r="C782" s="60"/>
      <c r="D782" s="60"/>
      <c r="E782" s="60"/>
    </row>
    <row r="783">
      <c r="A783" s="12"/>
      <c r="B783" s="12"/>
      <c r="C783" s="60"/>
      <c r="D783" s="60"/>
      <c r="E783" s="60"/>
    </row>
    <row r="784">
      <c r="A784" s="12"/>
      <c r="B784" s="12"/>
      <c r="C784" s="60"/>
      <c r="D784" s="60"/>
      <c r="E784" s="60"/>
    </row>
    <row r="785">
      <c r="A785" s="12"/>
      <c r="B785" s="12"/>
      <c r="C785" s="60"/>
      <c r="D785" s="60"/>
      <c r="E785" s="60"/>
    </row>
    <row r="786">
      <c r="A786" s="12"/>
      <c r="B786" s="12"/>
      <c r="C786" s="60"/>
      <c r="D786" s="60"/>
      <c r="E786" s="60"/>
    </row>
    <row r="787">
      <c r="A787" s="12"/>
      <c r="B787" s="12"/>
      <c r="C787" s="60"/>
      <c r="D787" s="60"/>
      <c r="E787" s="60"/>
    </row>
    <row r="788">
      <c r="A788" s="12"/>
      <c r="B788" s="12"/>
      <c r="C788" s="60"/>
      <c r="D788" s="60"/>
      <c r="E788" s="60"/>
    </row>
    <row r="789">
      <c r="A789" s="12"/>
      <c r="B789" s="12"/>
      <c r="C789" s="60"/>
      <c r="D789" s="60"/>
      <c r="E789" s="60"/>
    </row>
    <row r="790">
      <c r="A790" s="12"/>
      <c r="B790" s="12"/>
      <c r="C790" s="60"/>
      <c r="D790" s="60"/>
      <c r="E790" s="60"/>
    </row>
    <row r="791">
      <c r="A791" s="12"/>
      <c r="B791" s="12"/>
      <c r="C791" s="60"/>
      <c r="D791" s="60"/>
      <c r="E791" s="60"/>
    </row>
    <row r="792">
      <c r="A792" s="12"/>
      <c r="B792" s="12"/>
      <c r="C792" s="60"/>
      <c r="D792" s="60"/>
      <c r="E792" s="60"/>
    </row>
    <row r="793">
      <c r="A793" s="12"/>
      <c r="B793" s="12"/>
      <c r="C793" s="60"/>
      <c r="D793" s="60"/>
      <c r="E793" s="60"/>
    </row>
    <row r="794">
      <c r="A794" s="12"/>
      <c r="B794" s="12"/>
      <c r="C794" s="60"/>
      <c r="D794" s="60"/>
      <c r="E794" s="60"/>
    </row>
    <row r="795">
      <c r="A795" s="12"/>
      <c r="B795" s="12"/>
      <c r="C795" s="60"/>
      <c r="D795" s="60"/>
      <c r="E795" s="60"/>
    </row>
    <row r="796">
      <c r="A796" s="12"/>
      <c r="B796" s="12"/>
      <c r="C796" s="60"/>
      <c r="D796" s="60"/>
      <c r="E796" s="60"/>
    </row>
    <row r="797">
      <c r="A797" s="12"/>
      <c r="B797" s="12"/>
      <c r="C797" s="60"/>
      <c r="D797" s="60"/>
      <c r="E797" s="60"/>
    </row>
    <row r="798">
      <c r="A798" s="12"/>
      <c r="B798" s="12"/>
      <c r="C798" s="60"/>
      <c r="D798" s="60"/>
      <c r="E798" s="60"/>
    </row>
    <row r="799">
      <c r="A799" s="12"/>
      <c r="B799" s="12"/>
      <c r="C799" s="60"/>
      <c r="D799" s="60"/>
      <c r="E799" s="60"/>
    </row>
    <row r="800">
      <c r="A800" s="12"/>
      <c r="B800" s="12"/>
      <c r="C800" s="60"/>
      <c r="D800" s="60"/>
      <c r="E800" s="60"/>
    </row>
    <row r="801">
      <c r="A801" s="12"/>
      <c r="B801" s="12"/>
      <c r="C801" s="60"/>
      <c r="D801" s="60"/>
      <c r="E801" s="60"/>
    </row>
    <row r="802">
      <c r="A802" s="12"/>
      <c r="B802" s="12"/>
      <c r="C802" s="60"/>
      <c r="D802" s="60"/>
      <c r="E802" s="60"/>
    </row>
    <row r="803">
      <c r="A803" s="12"/>
      <c r="B803" s="12"/>
      <c r="C803" s="60"/>
      <c r="D803" s="60"/>
      <c r="E803" s="60"/>
    </row>
    <row r="804">
      <c r="A804" s="12"/>
      <c r="B804" s="12"/>
      <c r="C804" s="60"/>
      <c r="D804" s="60"/>
      <c r="E804" s="60"/>
    </row>
    <row r="805">
      <c r="A805" s="12"/>
      <c r="B805" s="12"/>
      <c r="C805" s="60"/>
      <c r="D805" s="60"/>
      <c r="E805" s="60"/>
    </row>
    <row r="806">
      <c r="A806" s="12"/>
      <c r="B806" s="12"/>
      <c r="C806" s="60"/>
      <c r="D806" s="60"/>
      <c r="E806" s="60"/>
    </row>
    <row r="807">
      <c r="A807" s="12"/>
      <c r="B807" s="12"/>
      <c r="C807" s="60"/>
      <c r="D807" s="60"/>
      <c r="E807" s="60"/>
    </row>
    <row r="808">
      <c r="A808" s="12"/>
      <c r="B808" s="12"/>
      <c r="C808" s="60"/>
      <c r="D808" s="60"/>
      <c r="E808" s="60"/>
    </row>
    <row r="809">
      <c r="A809" s="12"/>
      <c r="B809" s="12"/>
      <c r="C809" s="60"/>
      <c r="D809" s="60"/>
      <c r="E809" s="60"/>
    </row>
    <row r="810">
      <c r="A810" s="12"/>
      <c r="B810" s="12"/>
      <c r="C810" s="60"/>
      <c r="D810" s="60"/>
      <c r="E810" s="60"/>
    </row>
    <row r="811">
      <c r="A811" s="12"/>
      <c r="B811" s="12"/>
      <c r="C811" s="60"/>
      <c r="D811" s="60"/>
      <c r="E811" s="60"/>
    </row>
    <row r="812">
      <c r="A812" s="12"/>
      <c r="B812" s="12"/>
      <c r="C812" s="60"/>
      <c r="D812" s="60"/>
      <c r="E812" s="60"/>
    </row>
    <row r="813">
      <c r="A813" s="12"/>
      <c r="B813" s="12"/>
      <c r="C813" s="60"/>
      <c r="D813" s="60"/>
      <c r="E813" s="60"/>
    </row>
    <row r="814">
      <c r="A814" s="12"/>
      <c r="B814" s="12"/>
      <c r="C814" s="60"/>
      <c r="D814" s="60"/>
      <c r="E814" s="60"/>
    </row>
    <row r="815">
      <c r="A815" s="12"/>
      <c r="B815" s="12"/>
      <c r="C815" s="60"/>
      <c r="D815" s="60"/>
      <c r="E815" s="60"/>
    </row>
    <row r="816">
      <c r="A816" s="12"/>
      <c r="B816" s="12"/>
      <c r="C816" s="60"/>
      <c r="D816" s="60"/>
      <c r="E816" s="60"/>
    </row>
    <row r="817">
      <c r="A817" s="12"/>
      <c r="B817" s="12"/>
      <c r="C817" s="60"/>
      <c r="D817" s="60"/>
      <c r="E817" s="60"/>
    </row>
    <row r="818">
      <c r="A818" s="12"/>
      <c r="B818" s="12"/>
      <c r="C818" s="60"/>
      <c r="D818" s="60"/>
      <c r="E818" s="60"/>
    </row>
    <row r="819">
      <c r="A819" s="12"/>
      <c r="B819" s="12"/>
      <c r="C819" s="60"/>
      <c r="D819" s="60"/>
      <c r="E819" s="60"/>
    </row>
    <row r="820">
      <c r="A820" s="12"/>
      <c r="B820" s="12"/>
      <c r="C820" s="60"/>
      <c r="D820" s="60"/>
      <c r="E820" s="60"/>
    </row>
    <row r="821">
      <c r="A821" s="12"/>
      <c r="B821" s="12"/>
      <c r="C821" s="60"/>
      <c r="D821" s="60"/>
      <c r="E821" s="60"/>
    </row>
    <row r="822">
      <c r="A822" s="12"/>
      <c r="B822" s="12"/>
      <c r="C822" s="60"/>
      <c r="D822" s="60"/>
      <c r="E822" s="60"/>
    </row>
    <row r="823">
      <c r="A823" s="12"/>
      <c r="B823" s="12"/>
      <c r="C823" s="60"/>
      <c r="D823" s="60"/>
      <c r="E823" s="60"/>
    </row>
    <row r="824">
      <c r="A824" s="12"/>
      <c r="B824" s="12"/>
      <c r="C824" s="60"/>
      <c r="D824" s="60"/>
      <c r="E824" s="60"/>
    </row>
    <row r="825">
      <c r="A825" s="12"/>
      <c r="B825" s="12"/>
      <c r="C825" s="60"/>
      <c r="D825" s="60"/>
      <c r="E825" s="60"/>
    </row>
    <row r="826">
      <c r="A826" s="12"/>
      <c r="B826" s="12"/>
      <c r="C826" s="60"/>
      <c r="D826" s="60"/>
      <c r="E826" s="60"/>
    </row>
    <row r="827">
      <c r="A827" s="12"/>
      <c r="B827" s="12"/>
      <c r="C827" s="60"/>
      <c r="D827" s="60"/>
      <c r="E827" s="60"/>
    </row>
    <row r="828">
      <c r="A828" s="12"/>
      <c r="B828" s="12"/>
      <c r="C828" s="60"/>
      <c r="D828" s="60"/>
      <c r="E828" s="60"/>
    </row>
    <row r="829">
      <c r="A829" s="12"/>
      <c r="B829" s="12"/>
      <c r="C829" s="60"/>
      <c r="D829" s="60"/>
      <c r="E829" s="60"/>
    </row>
    <row r="830">
      <c r="A830" s="12"/>
      <c r="B830" s="12"/>
      <c r="C830" s="60"/>
      <c r="D830" s="60"/>
      <c r="E830" s="60"/>
    </row>
    <row r="831">
      <c r="A831" s="12"/>
      <c r="B831" s="12"/>
      <c r="C831" s="60"/>
      <c r="D831" s="60"/>
      <c r="E831" s="60"/>
    </row>
    <row r="832">
      <c r="A832" s="12"/>
      <c r="B832" s="12"/>
      <c r="C832" s="60"/>
      <c r="D832" s="60"/>
      <c r="E832" s="60"/>
    </row>
    <row r="833">
      <c r="A833" s="12"/>
      <c r="B833" s="12"/>
      <c r="C833" s="60"/>
      <c r="D833" s="60"/>
      <c r="E833" s="60"/>
    </row>
    <row r="834">
      <c r="A834" s="12"/>
      <c r="B834" s="12"/>
      <c r="C834" s="60"/>
      <c r="D834" s="60"/>
      <c r="E834" s="60"/>
    </row>
    <row r="835">
      <c r="A835" s="12"/>
      <c r="B835" s="12"/>
      <c r="C835" s="60"/>
      <c r="D835" s="60"/>
      <c r="E835" s="60"/>
    </row>
    <row r="836">
      <c r="A836" s="12"/>
      <c r="B836" s="12"/>
      <c r="C836" s="60"/>
      <c r="D836" s="60"/>
      <c r="E836" s="60"/>
    </row>
    <row r="837">
      <c r="A837" s="12"/>
      <c r="B837" s="12"/>
      <c r="C837" s="60"/>
      <c r="D837" s="60"/>
      <c r="E837" s="60"/>
    </row>
    <row r="838">
      <c r="A838" s="12"/>
      <c r="B838" s="12"/>
      <c r="C838" s="60"/>
      <c r="D838" s="60"/>
      <c r="E838" s="60"/>
    </row>
    <row r="839">
      <c r="A839" s="12"/>
      <c r="B839" s="12"/>
      <c r="C839" s="60"/>
      <c r="D839" s="60"/>
      <c r="E839" s="60"/>
    </row>
    <row r="840">
      <c r="A840" s="12"/>
      <c r="B840" s="12"/>
      <c r="C840" s="60"/>
      <c r="D840" s="60"/>
      <c r="E840" s="60"/>
    </row>
    <row r="841">
      <c r="A841" s="12"/>
      <c r="B841" s="12"/>
      <c r="C841" s="60"/>
      <c r="D841" s="60"/>
      <c r="E841" s="60"/>
    </row>
    <row r="842">
      <c r="A842" s="12"/>
      <c r="B842" s="12"/>
      <c r="C842" s="60"/>
      <c r="D842" s="60"/>
      <c r="E842" s="60"/>
    </row>
    <row r="843">
      <c r="A843" s="12"/>
      <c r="B843" s="12"/>
      <c r="C843" s="60"/>
      <c r="D843" s="60"/>
      <c r="E843" s="60"/>
    </row>
    <row r="844">
      <c r="A844" s="12"/>
      <c r="B844" s="12"/>
      <c r="C844" s="60"/>
      <c r="D844" s="60"/>
      <c r="E844" s="60"/>
    </row>
    <row r="845">
      <c r="A845" s="12"/>
      <c r="B845" s="12"/>
      <c r="C845" s="60"/>
      <c r="D845" s="60"/>
      <c r="E845" s="60"/>
    </row>
    <row r="846">
      <c r="A846" s="12"/>
      <c r="B846" s="12"/>
      <c r="C846" s="60"/>
      <c r="D846" s="60"/>
      <c r="E846" s="60"/>
    </row>
    <row r="847">
      <c r="A847" s="12"/>
      <c r="B847" s="12"/>
      <c r="C847" s="60"/>
      <c r="D847" s="60"/>
      <c r="E847" s="60"/>
    </row>
    <row r="848">
      <c r="A848" s="12"/>
      <c r="B848" s="12"/>
      <c r="C848" s="60"/>
      <c r="D848" s="60"/>
      <c r="E848" s="60"/>
    </row>
    <row r="849">
      <c r="A849" s="12"/>
      <c r="B849" s="12"/>
      <c r="C849" s="60"/>
      <c r="D849" s="60"/>
      <c r="E849" s="60"/>
    </row>
    <row r="850">
      <c r="A850" s="12"/>
      <c r="B850" s="12"/>
      <c r="C850" s="60"/>
      <c r="D850" s="60"/>
      <c r="E850" s="60"/>
    </row>
    <row r="851">
      <c r="A851" s="12"/>
      <c r="B851" s="12"/>
      <c r="C851" s="60"/>
      <c r="D851" s="60"/>
      <c r="E851" s="60"/>
    </row>
    <row r="852">
      <c r="A852" s="12"/>
      <c r="B852" s="12"/>
      <c r="C852" s="60"/>
      <c r="D852" s="60"/>
      <c r="E852" s="60"/>
    </row>
    <row r="853">
      <c r="A853" s="12"/>
      <c r="B853" s="12"/>
      <c r="C853" s="60"/>
      <c r="D853" s="60"/>
      <c r="E853" s="60"/>
    </row>
    <row r="854">
      <c r="A854" s="12"/>
      <c r="B854" s="12"/>
      <c r="C854" s="60"/>
      <c r="D854" s="60"/>
      <c r="E854" s="60"/>
    </row>
    <row r="855">
      <c r="A855" s="12"/>
      <c r="B855" s="12"/>
      <c r="C855" s="60"/>
      <c r="D855" s="60"/>
      <c r="E855" s="60"/>
    </row>
    <row r="856">
      <c r="A856" s="12"/>
      <c r="B856" s="12"/>
      <c r="C856" s="60"/>
      <c r="D856" s="60"/>
      <c r="E856" s="60"/>
    </row>
    <row r="857">
      <c r="A857" s="12"/>
      <c r="B857" s="12"/>
      <c r="C857" s="60"/>
      <c r="D857" s="60"/>
      <c r="E857" s="60"/>
    </row>
    <row r="858">
      <c r="A858" s="12"/>
      <c r="B858" s="12"/>
      <c r="C858" s="60"/>
      <c r="D858" s="60"/>
      <c r="E858" s="60"/>
    </row>
    <row r="859">
      <c r="A859" s="12"/>
      <c r="B859" s="12"/>
      <c r="C859" s="60"/>
      <c r="D859" s="60"/>
      <c r="E859" s="60"/>
    </row>
    <row r="860">
      <c r="A860" s="12"/>
      <c r="B860" s="12"/>
      <c r="C860" s="60"/>
      <c r="D860" s="60"/>
      <c r="E860" s="60"/>
    </row>
    <row r="861">
      <c r="A861" s="12"/>
      <c r="B861" s="12"/>
      <c r="C861" s="60"/>
      <c r="D861" s="60"/>
      <c r="E861" s="60"/>
    </row>
    <row r="862">
      <c r="A862" s="12"/>
      <c r="B862" s="12"/>
      <c r="C862" s="60"/>
      <c r="D862" s="60"/>
      <c r="E862" s="60"/>
    </row>
    <row r="863">
      <c r="A863" s="12"/>
      <c r="B863" s="12"/>
      <c r="C863" s="60"/>
      <c r="D863" s="60"/>
      <c r="E863" s="60"/>
    </row>
    <row r="864">
      <c r="A864" s="12"/>
      <c r="B864" s="12"/>
      <c r="C864" s="60"/>
      <c r="D864" s="60"/>
      <c r="E864" s="60"/>
    </row>
    <row r="865">
      <c r="A865" s="12"/>
      <c r="B865" s="12"/>
      <c r="C865" s="60"/>
      <c r="D865" s="60"/>
      <c r="E865" s="60"/>
    </row>
    <row r="866">
      <c r="A866" s="12"/>
      <c r="B866" s="12"/>
      <c r="C866" s="60"/>
      <c r="D866" s="60"/>
      <c r="E866" s="60"/>
    </row>
    <row r="867">
      <c r="A867" s="12"/>
      <c r="B867" s="12"/>
      <c r="C867" s="60"/>
      <c r="D867" s="60"/>
      <c r="E867" s="60"/>
    </row>
    <row r="868">
      <c r="A868" s="12"/>
      <c r="B868" s="12"/>
      <c r="C868" s="60"/>
      <c r="D868" s="60"/>
      <c r="E868" s="60"/>
    </row>
    <row r="869">
      <c r="A869" s="12"/>
      <c r="B869" s="12"/>
      <c r="C869" s="60"/>
      <c r="D869" s="60"/>
      <c r="E869" s="60"/>
    </row>
    <row r="870">
      <c r="A870" s="12"/>
      <c r="B870" s="12"/>
      <c r="C870" s="60"/>
      <c r="D870" s="60"/>
      <c r="E870" s="60"/>
    </row>
    <row r="871">
      <c r="A871" s="12"/>
      <c r="B871" s="12"/>
      <c r="C871" s="60"/>
      <c r="D871" s="60"/>
      <c r="E871" s="60"/>
    </row>
    <row r="872">
      <c r="A872" s="12"/>
      <c r="B872" s="12"/>
      <c r="C872" s="60"/>
      <c r="D872" s="60"/>
      <c r="E872" s="60"/>
    </row>
    <row r="873">
      <c r="A873" s="12"/>
      <c r="B873" s="12"/>
      <c r="C873" s="60"/>
      <c r="D873" s="60"/>
      <c r="E873" s="60"/>
    </row>
    <row r="874">
      <c r="A874" s="12"/>
      <c r="B874" s="12"/>
      <c r="C874" s="60"/>
      <c r="D874" s="60"/>
      <c r="E874" s="60"/>
    </row>
    <row r="875">
      <c r="A875" s="12"/>
      <c r="B875" s="12"/>
      <c r="C875" s="60"/>
      <c r="D875" s="60"/>
      <c r="E875" s="60"/>
    </row>
    <row r="876">
      <c r="A876" s="12"/>
      <c r="B876" s="12"/>
      <c r="C876" s="60"/>
      <c r="D876" s="60"/>
      <c r="E876" s="60"/>
    </row>
    <row r="877">
      <c r="A877" s="12"/>
      <c r="B877" s="12"/>
      <c r="C877" s="60"/>
      <c r="D877" s="60"/>
      <c r="E877" s="60"/>
    </row>
    <row r="878">
      <c r="A878" s="12"/>
      <c r="B878" s="12"/>
      <c r="C878" s="60"/>
      <c r="D878" s="60"/>
      <c r="E878" s="60"/>
    </row>
    <row r="879">
      <c r="A879" s="12"/>
      <c r="B879" s="12"/>
      <c r="C879" s="60"/>
      <c r="D879" s="60"/>
      <c r="E879" s="60"/>
    </row>
    <row r="880">
      <c r="A880" s="12"/>
      <c r="B880" s="12"/>
      <c r="C880" s="60"/>
      <c r="D880" s="60"/>
      <c r="E880" s="60"/>
    </row>
    <row r="881">
      <c r="A881" s="12"/>
      <c r="B881" s="12"/>
      <c r="C881" s="60"/>
      <c r="D881" s="60"/>
      <c r="E881" s="60"/>
    </row>
    <row r="882">
      <c r="A882" s="12"/>
      <c r="B882" s="12"/>
      <c r="C882" s="60"/>
      <c r="D882" s="60"/>
      <c r="E882" s="60"/>
    </row>
    <row r="883">
      <c r="A883" s="12"/>
      <c r="B883" s="12"/>
      <c r="C883" s="60"/>
      <c r="D883" s="60"/>
      <c r="E883" s="60"/>
    </row>
    <row r="884">
      <c r="A884" s="12"/>
      <c r="B884" s="12"/>
      <c r="C884" s="60"/>
      <c r="D884" s="60"/>
      <c r="E884" s="60"/>
    </row>
    <row r="885">
      <c r="A885" s="12"/>
      <c r="B885" s="12"/>
      <c r="C885" s="60"/>
      <c r="D885" s="60"/>
      <c r="E885" s="60"/>
    </row>
    <row r="886">
      <c r="A886" s="12"/>
      <c r="B886" s="12"/>
      <c r="C886" s="60"/>
      <c r="D886" s="60"/>
      <c r="E886" s="60"/>
    </row>
    <row r="887">
      <c r="A887" s="12"/>
      <c r="B887" s="12"/>
      <c r="C887" s="60"/>
      <c r="D887" s="60"/>
      <c r="E887" s="60"/>
    </row>
    <row r="888">
      <c r="A888" s="12"/>
      <c r="B888" s="12"/>
      <c r="C888" s="60"/>
      <c r="D888" s="60"/>
      <c r="E888" s="60"/>
    </row>
    <row r="889">
      <c r="A889" s="12"/>
      <c r="B889" s="12"/>
      <c r="C889" s="60"/>
      <c r="D889" s="60"/>
      <c r="E889" s="60"/>
    </row>
    <row r="890">
      <c r="A890" s="12"/>
      <c r="B890" s="12"/>
      <c r="C890" s="60"/>
      <c r="D890" s="60"/>
      <c r="E890" s="60"/>
    </row>
    <row r="891">
      <c r="A891" s="12"/>
      <c r="B891" s="12"/>
      <c r="C891" s="60"/>
      <c r="D891" s="60"/>
      <c r="E891" s="60"/>
    </row>
    <row r="892">
      <c r="A892" s="12"/>
      <c r="B892" s="12"/>
      <c r="C892" s="60"/>
      <c r="D892" s="60"/>
      <c r="E892" s="60"/>
    </row>
    <row r="893">
      <c r="A893" s="12"/>
      <c r="B893" s="12"/>
      <c r="C893" s="60"/>
      <c r="D893" s="60"/>
      <c r="E893" s="60"/>
    </row>
    <row r="894">
      <c r="A894" s="12"/>
      <c r="B894" s="12"/>
      <c r="C894" s="60"/>
      <c r="D894" s="60"/>
      <c r="E894" s="60"/>
    </row>
    <row r="895">
      <c r="A895" s="12"/>
      <c r="B895" s="12"/>
      <c r="C895" s="60"/>
      <c r="D895" s="60"/>
      <c r="E895" s="60"/>
    </row>
    <row r="896">
      <c r="A896" s="12"/>
      <c r="B896" s="12"/>
      <c r="C896" s="60"/>
      <c r="D896" s="60"/>
      <c r="E896" s="60"/>
    </row>
    <row r="897">
      <c r="A897" s="12"/>
      <c r="B897" s="12"/>
      <c r="C897" s="60"/>
      <c r="D897" s="60"/>
      <c r="E897" s="60"/>
    </row>
    <row r="898">
      <c r="A898" s="12"/>
      <c r="B898" s="12"/>
      <c r="C898" s="60"/>
      <c r="D898" s="60"/>
      <c r="E898" s="60"/>
    </row>
    <row r="899">
      <c r="A899" s="12"/>
      <c r="B899" s="12"/>
      <c r="C899" s="60"/>
      <c r="D899" s="60"/>
      <c r="E899" s="60"/>
    </row>
    <row r="900">
      <c r="A900" s="12"/>
      <c r="B900" s="12"/>
      <c r="C900" s="60"/>
      <c r="D900" s="60"/>
      <c r="E900" s="60"/>
    </row>
    <row r="901">
      <c r="A901" s="12"/>
      <c r="B901" s="12"/>
      <c r="C901" s="60"/>
      <c r="D901" s="60"/>
      <c r="E901" s="60"/>
    </row>
    <row r="902">
      <c r="A902" s="12"/>
      <c r="B902" s="12"/>
      <c r="C902" s="60"/>
      <c r="D902" s="60"/>
      <c r="E902" s="60"/>
    </row>
    <row r="903">
      <c r="A903" s="12"/>
      <c r="B903" s="12"/>
      <c r="C903" s="60"/>
      <c r="D903" s="60"/>
      <c r="E903" s="60"/>
    </row>
    <row r="904">
      <c r="A904" s="12"/>
      <c r="B904" s="12"/>
      <c r="C904" s="60"/>
      <c r="D904" s="60"/>
      <c r="E904" s="60"/>
    </row>
    <row r="905">
      <c r="A905" s="12"/>
      <c r="B905" s="12"/>
      <c r="C905" s="60"/>
      <c r="D905" s="60"/>
      <c r="E905" s="60"/>
    </row>
    <row r="906">
      <c r="A906" s="12"/>
      <c r="B906" s="12"/>
      <c r="C906" s="60"/>
      <c r="D906" s="60"/>
      <c r="E906" s="60"/>
    </row>
    <row r="907">
      <c r="A907" s="12"/>
      <c r="B907" s="12"/>
      <c r="C907" s="60"/>
      <c r="D907" s="60"/>
      <c r="E907" s="60"/>
    </row>
    <row r="908">
      <c r="A908" s="12"/>
      <c r="B908" s="12"/>
      <c r="C908" s="60"/>
      <c r="D908" s="60"/>
      <c r="E908" s="60"/>
    </row>
    <row r="909">
      <c r="A909" s="12"/>
      <c r="B909" s="12"/>
      <c r="C909" s="60"/>
      <c r="D909" s="60"/>
      <c r="E909" s="60"/>
    </row>
    <row r="910">
      <c r="A910" s="12"/>
      <c r="B910" s="12"/>
      <c r="C910" s="60"/>
      <c r="D910" s="60"/>
      <c r="E910" s="60"/>
    </row>
    <row r="911">
      <c r="A911" s="12"/>
      <c r="B911" s="12"/>
      <c r="C911" s="60"/>
      <c r="D911" s="60"/>
      <c r="E911" s="60"/>
    </row>
    <row r="912">
      <c r="A912" s="12"/>
      <c r="B912" s="12"/>
      <c r="C912" s="60"/>
      <c r="D912" s="60"/>
      <c r="E912" s="60"/>
    </row>
    <row r="913">
      <c r="A913" s="12"/>
      <c r="B913" s="12"/>
      <c r="C913" s="60"/>
      <c r="D913" s="60"/>
      <c r="E913" s="60"/>
    </row>
    <row r="914">
      <c r="A914" s="12"/>
      <c r="B914" s="12"/>
      <c r="C914" s="60"/>
      <c r="D914" s="60"/>
      <c r="E914" s="60"/>
    </row>
    <row r="915">
      <c r="A915" s="12"/>
      <c r="B915" s="12"/>
      <c r="C915" s="60"/>
      <c r="D915" s="60"/>
      <c r="E915" s="60"/>
    </row>
    <row r="916">
      <c r="A916" s="12"/>
      <c r="B916" s="12"/>
      <c r="C916" s="60"/>
      <c r="D916" s="60"/>
      <c r="E916" s="60"/>
    </row>
    <row r="917">
      <c r="A917" s="12"/>
      <c r="B917" s="12"/>
      <c r="C917" s="60"/>
      <c r="D917" s="60"/>
      <c r="E917" s="60"/>
    </row>
    <row r="918">
      <c r="A918" s="12"/>
      <c r="B918" s="12"/>
      <c r="C918" s="60"/>
      <c r="D918" s="60"/>
      <c r="E918" s="60"/>
    </row>
    <row r="919">
      <c r="A919" s="12"/>
      <c r="B919" s="12"/>
      <c r="C919" s="60"/>
      <c r="D919" s="60"/>
      <c r="E919" s="60"/>
    </row>
    <row r="920">
      <c r="A920" s="12"/>
      <c r="B920" s="12"/>
      <c r="C920" s="60"/>
      <c r="D920" s="60"/>
      <c r="E920" s="60"/>
    </row>
    <row r="921">
      <c r="A921" s="12"/>
      <c r="B921" s="12"/>
      <c r="C921" s="60"/>
      <c r="D921" s="60"/>
      <c r="E921" s="60"/>
    </row>
    <row r="922">
      <c r="A922" s="12"/>
      <c r="B922" s="12"/>
      <c r="C922" s="60"/>
      <c r="D922" s="60"/>
      <c r="E922" s="60"/>
    </row>
    <row r="923">
      <c r="A923" s="12"/>
      <c r="B923" s="12"/>
      <c r="C923" s="60"/>
      <c r="D923" s="60"/>
      <c r="E923" s="60"/>
    </row>
    <row r="924">
      <c r="A924" s="12"/>
      <c r="B924" s="12"/>
      <c r="C924" s="60"/>
      <c r="D924" s="60"/>
      <c r="E924" s="60"/>
    </row>
    <row r="925">
      <c r="A925" s="12"/>
      <c r="B925" s="12"/>
      <c r="C925" s="60"/>
      <c r="D925" s="60"/>
      <c r="E925" s="60"/>
    </row>
    <row r="926">
      <c r="A926" s="12"/>
      <c r="B926" s="12"/>
      <c r="C926" s="60"/>
      <c r="D926" s="60"/>
      <c r="E926" s="60"/>
    </row>
    <row r="927">
      <c r="A927" s="12"/>
      <c r="B927" s="12"/>
      <c r="C927" s="60"/>
      <c r="D927" s="60"/>
      <c r="E927" s="60"/>
    </row>
    <row r="928">
      <c r="A928" s="12"/>
      <c r="B928" s="12"/>
      <c r="C928" s="60"/>
      <c r="D928" s="60"/>
      <c r="E928" s="60"/>
    </row>
    <row r="929">
      <c r="A929" s="12"/>
      <c r="B929" s="12"/>
      <c r="C929" s="60"/>
      <c r="D929" s="60"/>
      <c r="E929" s="60"/>
    </row>
    <row r="930">
      <c r="A930" s="12"/>
      <c r="B930" s="12"/>
      <c r="C930" s="60"/>
      <c r="D930" s="60"/>
      <c r="E930" s="60"/>
    </row>
    <row r="931">
      <c r="A931" s="12"/>
      <c r="B931" s="12"/>
      <c r="C931" s="60"/>
      <c r="D931" s="60"/>
      <c r="E931" s="60"/>
    </row>
    <row r="932">
      <c r="A932" s="12"/>
      <c r="B932" s="12"/>
      <c r="C932" s="60"/>
      <c r="D932" s="60"/>
      <c r="E932" s="60"/>
    </row>
    <row r="933">
      <c r="A933" s="12"/>
      <c r="B933" s="12"/>
      <c r="C933" s="60"/>
      <c r="D933" s="60"/>
      <c r="E933" s="60"/>
    </row>
    <row r="934">
      <c r="A934" s="12"/>
      <c r="B934" s="12"/>
      <c r="C934" s="60"/>
      <c r="D934" s="60"/>
      <c r="E934" s="60"/>
    </row>
    <row r="935">
      <c r="A935" s="12"/>
      <c r="B935" s="12"/>
      <c r="C935" s="60"/>
      <c r="D935" s="60"/>
      <c r="E935" s="60"/>
    </row>
    <row r="936">
      <c r="A936" s="12"/>
      <c r="B936" s="12"/>
      <c r="C936" s="60"/>
      <c r="D936" s="60"/>
      <c r="E936" s="60"/>
    </row>
    <row r="937">
      <c r="A937" s="12"/>
      <c r="B937" s="12"/>
      <c r="C937" s="60"/>
      <c r="D937" s="60"/>
      <c r="E937" s="60"/>
    </row>
    <row r="938">
      <c r="A938" s="12"/>
      <c r="B938" s="12"/>
      <c r="C938" s="60"/>
      <c r="D938" s="60"/>
      <c r="E938" s="60"/>
    </row>
    <row r="939">
      <c r="A939" s="12"/>
      <c r="B939" s="12"/>
      <c r="C939" s="60"/>
      <c r="D939" s="60"/>
      <c r="E939" s="60"/>
    </row>
    <row r="940">
      <c r="A940" s="12"/>
      <c r="B940" s="12"/>
      <c r="C940" s="60"/>
      <c r="D940" s="60"/>
      <c r="E940" s="60"/>
    </row>
    <row r="941">
      <c r="A941" s="12"/>
      <c r="B941" s="12"/>
      <c r="C941" s="60"/>
      <c r="D941" s="60"/>
      <c r="E941" s="60"/>
    </row>
    <row r="942">
      <c r="A942" s="12"/>
      <c r="B942" s="12"/>
      <c r="C942" s="60"/>
      <c r="D942" s="60"/>
      <c r="E942" s="60"/>
    </row>
    <row r="943">
      <c r="A943" s="12"/>
      <c r="B943" s="12"/>
      <c r="C943" s="60"/>
      <c r="D943" s="60"/>
      <c r="E943" s="60"/>
    </row>
    <row r="944">
      <c r="A944" s="12"/>
      <c r="B944" s="12"/>
      <c r="C944" s="60"/>
      <c r="D944" s="60"/>
      <c r="E944" s="60"/>
    </row>
    <row r="945">
      <c r="A945" s="12"/>
      <c r="B945" s="12"/>
      <c r="C945" s="60"/>
      <c r="D945" s="60"/>
      <c r="E945" s="60"/>
    </row>
    <row r="946">
      <c r="A946" s="12"/>
      <c r="B946" s="12"/>
      <c r="C946" s="60"/>
      <c r="D946" s="60"/>
      <c r="E946" s="60"/>
    </row>
    <row r="947">
      <c r="A947" s="12"/>
      <c r="B947" s="12"/>
      <c r="C947" s="60"/>
      <c r="D947" s="60"/>
      <c r="E947" s="60"/>
    </row>
    <row r="948">
      <c r="A948" s="12"/>
      <c r="B948" s="12"/>
      <c r="C948" s="60"/>
      <c r="D948" s="60"/>
      <c r="E948" s="60"/>
    </row>
    <row r="949">
      <c r="A949" s="12"/>
      <c r="B949" s="12"/>
      <c r="C949" s="60"/>
      <c r="D949" s="60"/>
      <c r="E949" s="60"/>
    </row>
    <row r="950">
      <c r="A950" s="12"/>
      <c r="B950" s="12"/>
      <c r="C950" s="60"/>
      <c r="D950" s="60"/>
      <c r="E950" s="60"/>
    </row>
    <row r="951">
      <c r="A951" s="12"/>
      <c r="B951" s="12"/>
      <c r="C951" s="60"/>
      <c r="D951" s="60"/>
      <c r="E951" s="60"/>
    </row>
    <row r="952">
      <c r="A952" s="12"/>
      <c r="B952" s="12"/>
      <c r="C952" s="60"/>
      <c r="D952" s="60"/>
      <c r="E952" s="60"/>
    </row>
    <row r="953">
      <c r="A953" s="12"/>
      <c r="B953" s="12"/>
      <c r="C953" s="60"/>
      <c r="D953" s="60"/>
      <c r="E953" s="60"/>
    </row>
    <row r="954">
      <c r="A954" s="12"/>
      <c r="B954" s="12"/>
      <c r="C954" s="60"/>
      <c r="D954" s="60"/>
      <c r="E954" s="60"/>
    </row>
    <row r="955">
      <c r="A955" s="12"/>
      <c r="B955" s="12"/>
      <c r="C955" s="60"/>
      <c r="D955" s="60"/>
      <c r="E955" s="60"/>
    </row>
    <row r="956">
      <c r="A956" s="12"/>
      <c r="B956" s="12"/>
      <c r="C956" s="60"/>
      <c r="D956" s="60"/>
      <c r="E956" s="60"/>
    </row>
    <row r="957">
      <c r="A957" s="12"/>
      <c r="B957" s="12"/>
      <c r="C957" s="60"/>
      <c r="D957" s="60"/>
      <c r="E957" s="60"/>
    </row>
    <row r="958">
      <c r="A958" s="12"/>
      <c r="B958" s="12"/>
      <c r="C958" s="60"/>
      <c r="D958" s="60"/>
      <c r="E958" s="60"/>
    </row>
    <row r="959">
      <c r="A959" s="12"/>
      <c r="B959" s="12"/>
      <c r="C959" s="60"/>
      <c r="D959" s="60"/>
      <c r="E959" s="60"/>
    </row>
    <row r="960">
      <c r="A960" s="12"/>
      <c r="B960" s="12"/>
      <c r="C960" s="60"/>
      <c r="D960" s="60"/>
      <c r="E960" s="60"/>
    </row>
    <row r="961">
      <c r="A961" s="12"/>
      <c r="B961" s="12"/>
      <c r="C961" s="60"/>
      <c r="D961" s="60"/>
      <c r="E961" s="60"/>
    </row>
    <row r="962">
      <c r="A962" s="12"/>
      <c r="B962" s="12"/>
      <c r="C962" s="60"/>
      <c r="D962" s="60"/>
      <c r="E962" s="60"/>
    </row>
    <row r="963">
      <c r="A963" s="12"/>
      <c r="B963" s="12"/>
      <c r="C963" s="60"/>
      <c r="D963" s="60"/>
      <c r="E963" s="60"/>
    </row>
    <row r="964">
      <c r="A964" s="12"/>
      <c r="B964" s="12"/>
      <c r="C964" s="60"/>
      <c r="D964" s="60"/>
      <c r="E964" s="60"/>
    </row>
    <row r="965">
      <c r="A965" s="12"/>
      <c r="B965" s="12"/>
      <c r="C965" s="60"/>
      <c r="D965" s="60"/>
      <c r="E965" s="60"/>
    </row>
    <row r="966">
      <c r="A966" s="12"/>
      <c r="B966" s="12"/>
      <c r="C966" s="60"/>
      <c r="D966" s="60"/>
      <c r="E966" s="60"/>
    </row>
    <row r="967">
      <c r="A967" s="12"/>
      <c r="B967" s="12"/>
      <c r="C967" s="60"/>
      <c r="D967" s="60"/>
      <c r="E967" s="60"/>
    </row>
    <row r="968">
      <c r="A968" s="12"/>
      <c r="B968" s="12"/>
      <c r="C968" s="60"/>
      <c r="D968" s="60"/>
      <c r="E968" s="60"/>
    </row>
    <row r="969">
      <c r="A969" s="12"/>
      <c r="B969" s="12"/>
      <c r="C969" s="60"/>
      <c r="D969" s="60"/>
      <c r="E969" s="60"/>
    </row>
    <row r="970">
      <c r="A970" s="12"/>
      <c r="B970" s="12"/>
      <c r="C970" s="60"/>
      <c r="D970" s="60"/>
      <c r="E970" s="60"/>
    </row>
    <row r="971">
      <c r="A971" s="12"/>
      <c r="B971" s="12"/>
      <c r="C971" s="60"/>
      <c r="D971" s="60"/>
      <c r="E971" s="60"/>
    </row>
    <row r="972">
      <c r="A972" s="12"/>
      <c r="B972" s="12"/>
      <c r="C972" s="60"/>
      <c r="D972" s="60"/>
      <c r="E972" s="60"/>
    </row>
    <row r="973">
      <c r="A973" s="12"/>
      <c r="B973" s="12"/>
      <c r="C973" s="60"/>
      <c r="D973" s="60"/>
      <c r="E973" s="60"/>
    </row>
    <row r="974">
      <c r="A974" s="12"/>
      <c r="B974" s="12"/>
      <c r="C974" s="60"/>
      <c r="D974" s="60"/>
      <c r="E974" s="60"/>
    </row>
    <row r="975">
      <c r="A975" s="12"/>
      <c r="B975" s="12"/>
      <c r="C975" s="60"/>
      <c r="D975" s="60"/>
      <c r="E975" s="60"/>
    </row>
    <row r="976">
      <c r="A976" s="12"/>
      <c r="B976" s="12"/>
      <c r="C976" s="60"/>
      <c r="D976" s="60"/>
      <c r="E976" s="60"/>
    </row>
    <row r="977">
      <c r="A977" s="12"/>
      <c r="B977" s="12"/>
      <c r="C977" s="60"/>
      <c r="D977" s="60"/>
      <c r="E977" s="60"/>
    </row>
    <row r="978">
      <c r="A978" s="12"/>
      <c r="B978" s="12"/>
      <c r="C978" s="60"/>
      <c r="D978" s="60"/>
      <c r="E978" s="60"/>
    </row>
    <row r="979">
      <c r="A979" s="12"/>
      <c r="B979" s="12"/>
      <c r="C979" s="60"/>
      <c r="D979" s="60"/>
      <c r="E979" s="60"/>
    </row>
    <row r="980">
      <c r="A980" s="12"/>
      <c r="B980" s="12"/>
      <c r="C980" s="60"/>
      <c r="D980" s="60"/>
      <c r="E980" s="60"/>
    </row>
    <row r="981">
      <c r="A981" s="12"/>
      <c r="B981" s="12"/>
      <c r="C981" s="60"/>
      <c r="D981" s="60"/>
      <c r="E981" s="60"/>
    </row>
    <row r="982">
      <c r="A982" s="12"/>
      <c r="B982" s="12"/>
      <c r="C982" s="60"/>
      <c r="D982" s="60"/>
      <c r="E982" s="60"/>
    </row>
    <row r="983">
      <c r="A983" s="12"/>
      <c r="B983" s="12"/>
      <c r="C983" s="60"/>
      <c r="D983" s="60"/>
      <c r="E983" s="60"/>
    </row>
    <row r="984">
      <c r="A984" s="12"/>
      <c r="B984" s="12"/>
      <c r="C984" s="60"/>
      <c r="D984" s="60"/>
      <c r="E984" s="60"/>
    </row>
    <row r="985">
      <c r="A985" s="12"/>
      <c r="B985" s="12"/>
      <c r="C985" s="60"/>
      <c r="D985" s="60"/>
      <c r="E985" s="60"/>
    </row>
    <row r="986">
      <c r="A986" s="12"/>
      <c r="B986" s="12"/>
      <c r="C986" s="60"/>
      <c r="D986" s="60"/>
      <c r="E986" s="60"/>
    </row>
    <row r="987">
      <c r="A987" s="12"/>
      <c r="B987" s="12"/>
      <c r="C987" s="60"/>
      <c r="D987" s="60"/>
      <c r="E987" s="60"/>
    </row>
    <row r="988">
      <c r="A988" s="12"/>
      <c r="B988" s="12"/>
      <c r="C988" s="60"/>
      <c r="D988" s="60"/>
      <c r="E988" s="60"/>
    </row>
    <row r="989">
      <c r="A989" s="12"/>
      <c r="B989" s="12"/>
      <c r="C989" s="60"/>
      <c r="D989" s="60"/>
      <c r="E989" s="60"/>
    </row>
    <row r="990">
      <c r="A990" s="12"/>
      <c r="B990" s="12"/>
      <c r="C990" s="60"/>
      <c r="D990" s="60"/>
      <c r="E990" s="60"/>
    </row>
    <row r="991">
      <c r="A991" s="12"/>
      <c r="B991" s="12"/>
      <c r="C991" s="60"/>
      <c r="D991" s="60"/>
      <c r="E991" s="60"/>
    </row>
    <row r="992">
      <c r="A992" s="12"/>
      <c r="B992" s="12"/>
      <c r="C992" s="60"/>
      <c r="D992" s="60"/>
      <c r="E992" s="60"/>
    </row>
    <row r="993">
      <c r="A993" s="12"/>
      <c r="B993" s="12"/>
      <c r="C993" s="60"/>
      <c r="D993" s="60"/>
      <c r="E993" s="60"/>
    </row>
    <row r="994">
      <c r="A994" s="12"/>
      <c r="B994" s="12"/>
      <c r="C994" s="60"/>
      <c r="D994" s="60"/>
      <c r="E994" s="60"/>
    </row>
    <row r="995">
      <c r="A995" s="12"/>
      <c r="B995" s="12"/>
      <c r="C995" s="60"/>
      <c r="D995" s="60"/>
      <c r="E995" s="60"/>
    </row>
    <row r="996">
      <c r="A996" s="12"/>
      <c r="B996" s="12"/>
      <c r="C996" s="60"/>
      <c r="D996" s="60"/>
      <c r="E996" s="60"/>
    </row>
    <row r="997">
      <c r="A997" s="12"/>
      <c r="B997" s="12"/>
      <c r="C997" s="60"/>
      <c r="D997" s="60"/>
      <c r="E997" s="60"/>
    </row>
    <row r="998">
      <c r="A998" s="12"/>
      <c r="B998" s="12"/>
      <c r="C998" s="60"/>
      <c r="D998" s="60"/>
      <c r="E998" s="60"/>
    </row>
    <row r="999">
      <c r="A999" s="12"/>
      <c r="B999" s="12"/>
      <c r="C999" s="60"/>
      <c r="D999" s="60"/>
      <c r="E999" s="60"/>
    </row>
    <row r="1000">
      <c r="A1000" s="12"/>
      <c r="B1000" s="12"/>
      <c r="C1000" s="60"/>
      <c r="D1000" s="60"/>
      <c r="E1000" s="60"/>
    </row>
    <row r="1001">
      <c r="A1001" s="12"/>
      <c r="B1001" s="12"/>
      <c r="C1001" s="60"/>
      <c r="D1001" s="60"/>
      <c r="E1001" s="60"/>
    </row>
    <row r="1002">
      <c r="A1002" s="12"/>
      <c r="B1002" s="12"/>
      <c r="C1002" s="60"/>
      <c r="D1002" s="60"/>
      <c r="E1002" s="60"/>
    </row>
    <row r="1003">
      <c r="A1003" s="12"/>
      <c r="B1003" s="12"/>
      <c r="C1003" s="60"/>
      <c r="D1003" s="60"/>
      <c r="E1003" s="60"/>
    </row>
  </sheetData>
  <mergeCells count="9">
    <mergeCell ref="A7:B7"/>
    <mergeCell ref="A8:B8"/>
    <mergeCell ref="B1:G1"/>
    <mergeCell ref="A2:E2"/>
    <mergeCell ref="A3:E3"/>
    <mergeCell ref="A4:E4"/>
    <mergeCell ref="G4:H4"/>
    <mergeCell ref="A5:B5"/>
    <mergeCell ref="A6:B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1.5"/>
    <col customWidth="1" min="2" max="2" width="35.75"/>
    <col customWidth="1" min="3" max="3" width="15.38"/>
    <col customWidth="1" min="5" max="6" width="25.13"/>
    <col customWidth="1" min="7" max="7" width="18.5"/>
  </cols>
  <sheetData>
    <row r="1" ht="87.75" customHeight="1">
      <c r="A1" s="2" t="s">
        <v>0</v>
      </c>
      <c r="B1" s="3" t="s">
        <v>1</v>
      </c>
      <c r="G1" s="9">
        <f>SUM(C7,G7) / 100</f>
        <v>0</v>
      </c>
    </row>
    <row r="2">
      <c r="A2" s="10" t="s">
        <v>6</v>
      </c>
    </row>
    <row r="3">
      <c r="A3" s="12"/>
    </row>
    <row r="4">
      <c r="A4" s="14" t="s">
        <v>8</v>
      </c>
      <c r="B4" s="6"/>
      <c r="C4" s="8"/>
      <c r="D4" s="15"/>
      <c r="E4" s="14" t="s">
        <v>9</v>
      </c>
      <c r="F4" s="6"/>
      <c r="G4" s="8"/>
      <c r="H4" s="15"/>
    </row>
    <row r="5">
      <c r="A5" s="16" t="s">
        <v>11</v>
      </c>
      <c r="B5" s="8"/>
      <c r="C5" s="17">
        <v>50.0</v>
      </c>
      <c r="D5" s="18"/>
      <c r="E5" s="16" t="s">
        <v>11</v>
      </c>
      <c r="F5" s="8"/>
      <c r="G5" s="17">
        <v>500.0</v>
      </c>
      <c r="H5" s="18"/>
    </row>
    <row r="6">
      <c r="A6" s="16" t="s">
        <v>13</v>
      </c>
      <c r="B6" s="8"/>
      <c r="C6" s="17">
        <f>COUNTA(C10:C951)</f>
        <v>0</v>
      </c>
      <c r="D6" s="18"/>
      <c r="E6" s="16" t="s">
        <v>13</v>
      </c>
      <c r="F6" s="8"/>
      <c r="G6" s="17">
        <f>COUNTA(G10:G951)</f>
        <v>0</v>
      </c>
      <c r="H6" s="18"/>
    </row>
    <row r="7">
      <c r="A7" s="16" t="s">
        <v>17</v>
      </c>
      <c r="B7" s="8"/>
      <c r="C7" s="30">
        <f>(C6 * C8) / C5</f>
        <v>0</v>
      </c>
      <c r="D7" s="18"/>
      <c r="E7" s="16" t="s">
        <v>17</v>
      </c>
      <c r="F7" s="8"/>
      <c r="G7" s="30">
        <f>(G6 * G8) / G5</f>
        <v>0</v>
      </c>
      <c r="H7" s="18"/>
    </row>
    <row r="8">
      <c r="A8" s="36" t="s">
        <v>24</v>
      </c>
      <c r="B8" s="8"/>
      <c r="C8" s="38">
        <v>50.0</v>
      </c>
      <c r="D8" s="18"/>
      <c r="E8" s="36" t="s">
        <v>24</v>
      </c>
      <c r="F8" s="8"/>
      <c r="G8" s="38">
        <v>50.0</v>
      </c>
      <c r="H8" s="18"/>
    </row>
    <row r="9" ht="52.5" customHeight="1">
      <c r="A9" s="39" t="s">
        <v>26</v>
      </c>
      <c r="B9" s="39" t="s">
        <v>27</v>
      </c>
      <c r="C9" s="40" t="s">
        <v>28</v>
      </c>
      <c r="D9" s="18"/>
      <c r="E9" s="39" t="s">
        <v>26</v>
      </c>
      <c r="F9" s="39" t="s">
        <v>27</v>
      </c>
      <c r="G9" s="40" t="s">
        <v>29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>
      <c r="A10" s="41" t="s">
        <v>30</v>
      </c>
      <c r="B10" s="41"/>
      <c r="C10" s="42"/>
      <c r="E10" s="41" t="s">
        <v>30</v>
      </c>
      <c r="F10" s="41"/>
      <c r="G10" s="41"/>
    </row>
    <row r="11">
      <c r="A11" s="41" t="s">
        <v>31</v>
      </c>
      <c r="B11" s="41"/>
      <c r="C11" s="42"/>
      <c r="E11" s="41" t="s">
        <v>31</v>
      </c>
      <c r="F11" s="41"/>
      <c r="G11" s="41"/>
    </row>
    <row r="12">
      <c r="A12" s="41" t="s">
        <v>32</v>
      </c>
      <c r="B12" s="41"/>
      <c r="C12" s="42"/>
      <c r="E12" s="41" t="s">
        <v>32</v>
      </c>
      <c r="F12" s="41"/>
      <c r="G12" s="41"/>
    </row>
    <row r="13">
      <c r="A13" s="41" t="s">
        <v>33</v>
      </c>
      <c r="B13" s="41"/>
      <c r="C13" s="42"/>
      <c r="E13" s="41" t="s">
        <v>33</v>
      </c>
      <c r="F13" s="41"/>
      <c r="G13" s="41"/>
    </row>
    <row r="14">
      <c r="A14" s="41" t="s">
        <v>34</v>
      </c>
      <c r="B14" s="41"/>
      <c r="C14" s="42"/>
      <c r="E14" s="41" t="s">
        <v>34</v>
      </c>
      <c r="F14" s="41"/>
      <c r="G14" s="41"/>
    </row>
    <row r="15">
      <c r="A15" s="41" t="s">
        <v>35</v>
      </c>
      <c r="B15" s="41"/>
      <c r="C15" s="42"/>
      <c r="E15" s="41" t="s">
        <v>35</v>
      </c>
      <c r="F15" s="41"/>
      <c r="G15" s="41"/>
    </row>
    <row r="16">
      <c r="A16" s="41" t="s">
        <v>36</v>
      </c>
      <c r="B16" s="41"/>
      <c r="C16" s="42"/>
      <c r="E16" s="41" t="s">
        <v>36</v>
      </c>
      <c r="F16" s="41"/>
      <c r="G16" s="41"/>
    </row>
    <row r="17">
      <c r="A17" s="41" t="s">
        <v>37</v>
      </c>
      <c r="B17" s="41"/>
      <c r="C17" s="42"/>
      <c r="E17" s="41" t="s">
        <v>37</v>
      </c>
      <c r="F17" s="41"/>
      <c r="G17" s="41"/>
    </row>
    <row r="18">
      <c r="A18" s="41" t="s">
        <v>38</v>
      </c>
      <c r="B18" s="41"/>
      <c r="C18" s="42"/>
      <c r="E18" s="41" t="s">
        <v>38</v>
      </c>
      <c r="F18" s="41"/>
      <c r="G18" s="41"/>
    </row>
    <row r="19">
      <c r="A19" s="41" t="s">
        <v>39</v>
      </c>
      <c r="B19" s="41"/>
      <c r="C19" s="42"/>
      <c r="E19" s="41" t="s">
        <v>39</v>
      </c>
      <c r="F19" s="41"/>
      <c r="G19" s="41"/>
    </row>
    <row r="20">
      <c r="A20" s="41" t="s">
        <v>40</v>
      </c>
      <c r="B20" s="41"/>
      <c r="C20" s="45"/>
      <c r="E20" s="41" t="s">
        <v>40</v>
      </c>
      <c r="F20" s="41"/>
      <c r="G20" s="46"/>
    </row>
    <row r="21">
      <c r="A21" s="41" t="s">
        <v>41</v>
      </c>
      <c r="B21" s="41"/>
      <c r="C21" s="45"/>
      <c r="E21" s="41" t="s">
        <v>41</v>
      </c>
      <c r="F21" s="41"/>
      <c r="G21" s="46"/>
    </row>
    <row r="22">
      <c r="A22" s="41" t="s">
        <v>42</v>
      </c>
      <c r="B22" s="41"/>
      <c r="C22" s="45"/>
      <c r="E22" s="41" t="s">
        <v>42</v>
      </c>
      <c r="F22" s="41"/>
      <c r="G22" s="46"/>
    </row>
    <row r="23">
      <c r="A23" s="41" t="s">
        <v>43</v>
      </c>
      <c r="B23" s="41"/>
      <c r="C23" s="45"/>
      <c r="E23" s="41" t="s">
        <v>43</v>
      </c>
      <c r="F23" s="41"/>
      <c r="G23" s="46"/>
    </row>
    <row r="24">
      <c r="A24" s="41" t="s">
        <v>44</v>
      </c>
      <c r="B24" s="41"/>
      <c r="C24" s="45"/>
      <c r="E24" s="41" t="s">
        <v>44</v>
      </c>
      <c r="F24" s="41"/>
      <c r="G24" s="46"/>
    </row>
    <row r="25">
      <c r="A25" s="41" t="s">
        <v>45</v>
      </c>
      <c r="B25" s="41"/>
      <c r="C25" s="45"/>
      <c r="E25" s="41" t="s">
        <v>45</v>
      </c>
      <c r="F25" s="41"/>
      <c r="G25" s="46"/>
    </row>
    <row r="26">
      <c r="A26" s="41" t="s">
        <v>46</v>
      </c>
      <c r="B26" s="41"/>
      <c r="C26" s="45"/>
      <c r="E26" s="41" t="s">
        <v>46</v>
      </c>
      <c r="F26" s="41"/>
      <c r="G26" s="46"/>
    </row>
    <row r="27">
      <c r="A27" s="41" t="s">
        <v>47</v>
      </c>
      <c r="B27" s="41"/>
      <c r="C27" s="45"/>
      <c r="E27" s="41" t="s">
        <v>47</v>
      </c>
      <c r="F27" s="41"/>
      <c r="G27" s="46"/>
    </row>
    <row r="28">
      <c r="A28" s="41" t="s">
        <v>48</v>
      </c>
      <c r="B28" s="41"/>
      <c r="C28" s="45"/>
      <c r="E28" s="41" t="s">
        <v>48</v>
      </c>
      <c r="F28" s="41"/>
      <c r="G28" s="46"/>
    </row>
    <row r="29">
      <c r="A29" s="41" t="s">
        <v>49</v>
      </c>
      <c r="B29" s="41"/>
      <c r="C29" s="45"/>
      <c r="E29" s="41" t="s">
        <v>49</v>
      </c>
      <c r="F29" s="41"/>
      <c r="G29" s="46"/>
    </row>
    <row r="30">
      <c r="A30" s="41" t="s">
        <v>50</v>
      </c>
      <c r="B30" s="41"/>
      <c r="C30" s="45"/>
      <c r="E30" s="41" t="s">
        <v>50</v>
      </c>
      <c r="F30" s="41"/>
      <c r="G30" s="46"/>
    </row>
    <row r="31">
      <c r="A31" s="41" t="s">
        <v>51</v>
      </c>
      <c r="B31" s="41"/>
      <c r="C31" s="45"/>
      <c r="E31" s="41" t="s">
        <v>51</v>
      </c>
      <c r="F31" s="41"/>
      <c r="G31" s="46"/>
    </row>
    <row r="32">
      <c r="A32" s="41" t="s">
        <v>52</v>
      </c>
      <c r="B32" s="41"/>
      <c r="C32" s="45"/>
      <c r="E32" s="41" t="s">
        <v>52</v>
      </c>
      <c r="F32" s="41"/>
      <c r="G32" s="46"/>
    </row>
    <row r="33">
      <c r="A33" s="41" t="s">
        <v>53</v>
      </c>
      <c r="B33" s="41"/>
      <c r="C33" s="45"/>
      <c r="E33" s="41" t="s">
        <v>53</v>
      </c>
      <c r="F33" s="41"/>
      <c r="G33" s="46"/>
    </row>
    <row r="34">
      <c r="A34" s="41" t="s">
        <v>54</v>
      </c>
      <c r="B34" s="41"/>
      <c r="C34" s="45"/>
      <c r="E34" s="41" t="s">
        <v>54</v>
      </c>
      <c r="F34" s="41"/>
      <c r="G34" s="46"/>
    </row>
    <row r="35">
      <c r="A35" s="41" t="s">
        <v>55</v>
      </c>
      <c r="B35" s="41"/>
      <c r="C35" s="45"/>
      <c r="E35" s="41" t="s">
        <v>55</v>
      </c>
      <c r="F35" s="41"/>
      <c r="G35" s="46"/>
    </row>
    <row r="36">
      <c r="A36" s="41" t="s">
        <v>56</v>
      </c>
      <c r="B36" s="41"/>
      <c r="C36" s="45"/>
      <c r="E36" s="41" t="s">
        <v>56</v>
      </c>
      <c r="F36" s="41"/>
      <c r="G36" s="46"/>
    </row>
    <row r="37">
      <c r="A37" s="41" t="s">
        <v>57</v>
      </c>
      <c r="B37" s="41"/>
      <c r="C37" s="45"/>
      <c r="E37" s="41" t="s">
        <v>57</v>
      </c>
      <c r="F37" s="41"/>
      <c r="G37" s="46"/>
    </row>
    <row r="38">
      <c r="A38" s="41" t="s">
        <v>58</v>
      </c>
      <c r="B38" s="41"/>
      <c r="C38" s="45"/>
      <c r="E38" s="41" t="s">
        <v>58</v>
      </c>
      <c r="F38" s="41"/>
      <c r="G38" s="46"/>
    </row>
    <row r="39">
      <c r="A39" s="41" t="s">
        <v>60</v>
      </c>
      <c r="B39" s="41"/>
      <c r="C39" s="45"/>
      <c r="E39" s="41" t="s">
        <v>60</v>
      </c>
      <c r="F39" s="41"/>
      <c r="G39" s="46"/>
    </row>
    <row r="40">
      <c r="A40" s="41" t="s">
        <v>62</v>
      </c>
      <c r="B40" s="41"/>
      <c r="C40" s="45"/>
      <c r="E40" s="41" t="s">
        <v>62</v>
      </c>
      <c r="F40" s="41"/>
      <c r="G40" s="46"/>
    </row>
    <row r="41">
      <c r="A41" s="41" t="s">
        <v>63</v>
      </c>
      <c r="B41" s="41"/>
      <c r="C41" s="45"/>
      <c r="E41" s="41" t="s">
        <v>63</v>
      </c>
      <c r="F41" s="41"/>
      <c r="G41" s="46"/>
    </row>
    <row r="42">
      <c r="A42" s="41" t="s">
        <v>65</v>
      </c>
      <c r="B42" s="41"/>
      <c r="C42" s="45"/>
      <c r="E42" s="41" t="s">
        <v>65</v>
      </c>
      <c r="F42" s="41"/>
      <c r="G42" s="46"/>
    </row>
    <row r="43">
      <c r="A43" s="41" t="s">
        <v>67</v>
      </c>
      <c r="B43" s="41"/>
      <c r="C43" s="45"/>
      <c r="E43" s="41" t="s">
        <v>67</v>
      </c>
      <c r="F43" s="41"/>
      <c r="G43" s="46"/>
    </row>
    <row r="44">
      <c r="A44" s="41" t="s">
        <v>68</v>
      </c>
      <c r="B44" s="41"/>
      <c r="C44" s="45"/>
      <c r="E44" s="41" t="s">
        <v>68</v>
      </c>
      <c r="F44" s="41"/>
      <c r="G44" s="46"/>
    </row>
    <row r="45">
      <c r="A45" s="41" t="s">
        <v>69</v>
      </c>
      <c r="B45" s="41"/>
      <c r="C45" s="45"/>
      <c r="E45" s="41" t="s">
        <v>69</v>
      </c>
      <c r="F45" s="41"/>
      <c r="G45" s="46"/>
    </row>
    <row r="46">
      <c r="A46" s="41" t="s">
        <v>71</v>
      </c>
      <c r="B46" s="41"/>
      <c r="C46" s="45"/>
      <c r="E46" s="41" t="s">
        <v>71</v>
      </c>
      <c r="F46" s="41"/>
      <c r="G46" s="46"/>
    </row>
    <row r="47">
      <c r="A47" s="41" t="s">
        <v>72</v>
      </c>
      <c r="B47" s="41"/>
      <c r="C47" s="45"/>
      <c r="E47" s="41" t="s">
        <v>72</v>
      </c>
      <c r="F47" s="41"/>
      <c r="G47" s="46"/>
    </row>
    <row r="48">
      <c r="A48" s="41" t="s">
        <v>77</v>
      </c>
      <c r="B48" s="41"/>
      <c r="C48" s="45"/>
      <c r="E48" s="41" t="s">
        <v>77</v>
      </c>
      <c r="F48" s="41"/>
      <c r="G48" s="46"/>
    </row>
    <row r="49">
      <c r="A49" s="41" t="s">
        <v>78</v>
      </c>
      <c r="B49" s="41"/>
      <c r="C49" s="45"/>
      <c r="E49" s="41" t="s">
        <v>78</v>
      </c>
      <c r="F49" s="41"/>
      <c r="G49" s="46"/>
    </row>
    <row r="50">
      <c r="A50" s="41" t="s">
        <v>80</v>
      </c>
      <c r="B50" s="41"/>
      <c r="C50" s="45"/>
      <c r="E50" s="41" t="s">
        <v>80</v>
      </c>
      <c r="F50" s="41"/>
      <c r="G50" s="46"/>
    </row>
    <row r="51">
      <c r="A51" s="41" t="s">
        <v>84</v>
      </c>
      <c r="B51" s="41"/>
      <c r="C51" s="45"/>
      <c r="E51" s="41" t="s">
        <v>84</v>
      </c>
      <c r="F51" s="41"/>
      <c r="G51" s="46"/>
    </row>
    <row r="52">
      <c r="A52" s="41" t="s">
        <v>86</v>
      </c>
      <c r="B52" s="41"/>
      <c r="C52" s="45"/>
      <c r="E52" s="41" t="s">
        <v>86</v>
      </c>
      <c r="F52" s="41"/>
      <c r="G52" s="46"/>
    </row>
    <row r="53">
      <c r="A53" s="41" t="s">
        <v>90</v>
      </c>
      <c r="B53" s="41"/>
      <c r="C53" s="45"/>
      <c r="E53" s="41" t="s">
        <v>90</v>
      </c>
      <c r="F53" s="41"/>
      <c r="G53" s="46"/>
    </row>
    <row r="54">
      <c r="A54" s="41" t="s">
        <v>93</v>
      </c>
      <c r="B54" s="41"/>
      <c r="C54" s="45"/>
      <c r="E54" s="41" t="s">
        <v>93</v>
      </c>
      <c r="F54" s="41"/>
      <c r="G54" s="46"/>
    </row>
    <row r="55">
      <c r="A55" s="41" t="s">
        <v>95</v>
      </c>
      <c r="B55" s="41"/>
      <c r="C55" s="45"/>
      <c r="E55" s="41" t="s">
        <v>95</v>
      </c>
      <c r="F55" s="41"/>
      <c r="G55" s="46"/>
    </row>
    <row r="56">
      <c r="A56" s="41" t="s">
        <v>97</v>
      </c>
      <c r="B56" s="41"/>
      <c r="C56" s="45"/>
      <c r="E56" s="41" t="s">
        <v>97</v>
      </c>
      <c r="F56" s="41"/>
      <c r="G56" s="46"/>
    </row>
    <row r="57">
      <c r="A57" s="41" t="s">
        <v>101</v>
      </c>
      <c r="B57" s="41"/>
      <c r="C57" s="45"/>
      <c r="E57" s="41" t="s">
        <v>101</v>
      </c>
      <c r="F57" s="41"/>
      <c r="G57" s="46"/>
    </row>
    <row r="58">
      <c r="A58" s="41" t="s">
        <v>103</v>
      </c>
      <c r="B58" s="41"/>
      <c r="C58" s="45"/>
      <c r="E58" s="41" t="s">
        <v>103</v>
      </c>
      <c r="F58" s="41"/>
      <c r="G58" s="46"/>
    </row>
    <row r="59">
      <c r="A59" s="41" t="s">
        <v>106</v>
      </c>
      <c r="B59" s="41"/>
      <c r="C59" s="45"/>
      <c r="E59" s="41" t="s">
        <v>106</v>
      </c>
      <c r="F59" s="41"/>
      <c r="G59" s="46"/>
    </row>
    <row r="60">
      <c r="A60" s="12"/>
      <c r="B60" s="12"/>
      <c r="C60" s="60"/>
    </row>
    <row r="61">
      <c r="A61" s="12"/>
      <c r="B61" s="12"/>
      <c r="C61" s="60"/>
    </row>
    <row r="62">
      <c r="A62" s="12"/>
      <c r="B62" s="12"/>
      <c r="C62" s="60"/>
    </row>
    <row r="63">
      <c r="A63" s="12"/>
      <c r="B63" s="12"/>
      <c r="C63" s="60"/>
    </row>
    <row r="64">
      <c r="A64" s="12"/>
      <c r="B64" s="12"/>
      <c r="C64" s="60"/>
    </row>
    <row r="65">
      <c r="A65" s="12"/>
      <c r="B65" s="12"/>
      <c r="C65" s="60"/>
    </row>
    <row r="66">
      <c r="A66" s="12"/>
      <c r="B66" s="12"/>
      <c r="C66" s="60"/>
    </row>
    <row r="67">
      <c r="A67" s="12"/>
      <c r="B67" s="12"/>
      <c r="C67" s="60"/>
    </row>
    <row r="68">
      <c r="A68" s="12"/>
      <c r="B68" s="12"/>
      <c r="C68" s="60"/>
    </row>
    <row r="69">
      <c r="A69" s="12"/>
      <c r="B69" s="12"/>
      <c r="C69" s="60"/>
    </row>
    <row r="70">
      <c r="A70" s="12"/>
      <c r="B70" s="12"/>
      <c r="C70" s="60"/>
    </row>
    <row r="71">
      <c r="A71" s="12"/>
      <c r="B71" s="12"/>
      <c r="C71" s="60"/>
    </row>
    <row r="72">
      <c r="A72" s="12"/>
      <c r="B72" s="12"/>
      <c r="C72" s="60"/>
    </row>
    <row r="73">
      <c r="A73" s="12"/>
      <c r="B73" s="12"/>
      <c r="C73" s="60"/>
    </row>
    <row r="74">
      <c r="A74" s="12"/>
      <c r="B74" s="12"/>
      <c r="C74" s="60"/>
    </row>
    <row r="75">
      <c r="A75" s="12"/>
      <c r="B75" s="12"/>
      <c r="C75" s="60"/>
    </row>
    <row r="76">
      <c r="A76" s="12"/>
      <c r="B76" s="12"/>
      <c r="C76" s="60"/>
    </row>
    <row r="77">
      <c r="A77" s="12"/>
      <c r="B77" s="12"/>
      <c r="C77" s="60"/>
    </row>
    <row r="78">
      <c r="A78" s="12"/>
      <c r="B78" s="12"/>
      <c r="C78" s="60"/>
    </row>
    <row r="79">
      <c r="A79" s="12"/>
      <c r="B79" s="12"/>
      <c r="C79" s="60"/>
    </row>
    <row r="80">
      <c r="A80" s="12"/>
      <c r="B80" s="12"/>
      <c r="C80" s="60"/>
    </row>
    <row r="81">
      <c r="A81" s="12"/>
      <c r="B81" s="12"/>
      <c r="C81" s="60"/>
    </row>
    <row r="82">
      <c r="A82" s="12"/>
      <c r="B82" s="12"/>
      <c r="C82" s="60"/>
    </row>
    <row r="83">
      <c r="A83" s="12"/>
      <c r="B83" s="12"/>
      <c r="C83" s="60"/>
    </row>
    <row r="84">
      <c r="A84" s="12"/>
      <c r="B84" s="12"/>
      <c r="C84" s="60"/>
    </row>
    <row r="85">
      <c r="A85" s="12"/>
      <c r="B85" s="12"/>
      <c r="C85" s="60"/>
    </row>
    <row r="86">
      <c r="A86" s="12"/>
      <c r="B86" s="12"/>
      <c r="C86" s="60"/>
    </row>
    <row r="87">
      <c r="A87" s="12"/>
      <c r="B87" s="12"/>
      <c r="C87" s="60"/>
    </row>
    <row r="88">
      <c r="A88" s="12"/>
      <c r="B88" s="12"/>
      <c r="C88" s="60"/>
    </row>
    <row r="89">
      <c r="A89" s="12"/>
      <c r="B89" s="12"/>
      <c r="C89" s="60"/>
    </row>
    <row r="90">
      <c r="A90" s="12"/>
      <c r="B90" s="12"/>
      <c r="C90" s="60"/>
    </row>
    <row r="91">
      <c r="A91" s="12"/>
      <c r="B91" s="12"/>
      <c r="C91" s="60"/>
    </row>
    <row r="92">
      <c r="A92" s="12"/>
      <c r="B92" s="12"/>
      <c r="C92" s="60"/>
    </row>
    <row r="93">
      <c r="A93" s="12"/>
      <c r="B93" s="12"/>
      <c r="C93" s="60"/>
    </row>
    <row r="94">
      <c r="A94" s="12"/>
      <c r="B94" s="12"/>
      <c r="C94" s="60"/>
    </row>
    <row r="95">
      <c r="A95" s="12"/>
      <c r="B95" s="12"/>
      <c r="C95" s="60"/>
    </row>
    <row r="96">
      <c r="A96" s="12"/>
      <c r="B96" s="12"/>
      <c r="C96" s="60"/>
    </row>
    <row r="97">
      <c r="A97" s="12"/>
      <c r="B97" s="12"/>
      <c r="C97" s="60"/>
    </row>
    <row r="98">
      <c r="A98" s="12"/>
      <c r="B98" s="12"/>
      <c r="C98" s="60"/>
    </row>
    <row r="99">
      <c r="A99" s="12"/>
      <c r="B99" s="12"/>
      <c r="C99" s="60"/>
    </row>
    <row r="100">
      <c r="A100" s="12"/>
      <c r="B100" s="12"/>
      <c r="C100" s="60"/>
    </row>
    <row r="101">
      <c r="A101" s="12"/>
      <c r="B101" s="12"/>
      <c r="C101" s="60"/>
    </row>
    <row r="102">
      <c r="A102" s="12"/>
      <c r="B102" s="12"/>
      <c r="C102" s="60"/>
    </row>
    <row r="103">
      <c r="A103" s="12"/>
      <c r="B103" s="12"/>
      <c r="C103" s="60"/>
    </row>
    <row r="104">
      <c r="A104" s="12"/>
      <c r="B104" s="12"/>
      <c r="C104" s="60"/>
    </row>
    <row r="105">
      <c r="A105" s="12"/>
      <c r="B105" s="12"/>
      <c r="C105" s="60"/>
    </row>
    <row r="106">
      <c r="A106" s="12"/>
      <c r="B106" s="12"/>
      <c r="C106" s="60"/>
    </row>
    <row r="107">
      <c r="A107" s="12"/>
      <c r="B107" s="12"/>
      <c r="C107" s="60"/>
    </row>
    <row r="108">
      <c r="A108" s="12"/>
      <c r="B108" s="12"/>
      <c r="C108" s="60"/>
    </row>
    <row r="109">
      <c r="A109" s="12"/>
      <c r="B109" s="12"/>
      <c r="C109" s="60"/>
    </row>
    <row r="110">
      <c r="A110" s="12"/>
      <c r="B110" s="12"/>
      <c r="C110" s="60"/>
    </row>
    <row r="111">
      <c r="A111" s="12"/>
      <c r="B111" s="12"/>
      <c r="C111" s="60"/>
    </row>
    <row r="112">
      <c r="A112" s="12"/>
      <c r="B112" s="12"/>
      <c r="C112" s="60"/>
    </row>
    <row r="113">
      <c r="A113" s="12"/>
      <c r="B113" s="12"/>
      <c r="C113" s="60"/>
    </row>
    <row r="114">
      <c r="A114" s="12"/>
      <c r="B114" s="12"/>
      <c r="C114" s="60"/>
    </row>
    <row r="115">
      <c r="A115" s="12"/>
      <c r="B115" s="12"/>
      <c r="C115" s="60"/>
    </row>
    <row r="116">
      <c r="A116" s="12"/>
      <c r="B116" s="12"/>
      <c r="C116" s="60"/>
    </row>
    <row r="117">
      <c r="A117" s="12"/>
      <c r="B117" s="12"/>
      <c r="C117" s="60"/>
    </row>
    <row r="118">
      <c r="A118" s="12"/>
      <c r="B118" s="12"/>
      <c r="C118" s="60"/>
    </row>
    <row r="119">
      <c r="A119" s="12"/>
      <c r="B119" s="12"/>
      <c r="C119" s="60"/>
    </row>
    <row r="120">
      <c r="A120" s="12"/>
      <c r="B120" s="12"/>
      <c r="C120" s="60"/>
    </row>
    <row r="121">
      <c r="A121" s="12"/>
      <c r="B121" s="12"/>
      <c r="C121" s="60"/>
    </row>
    <row r="122">
      <c r="A122" s="12"/>
      <c r="B122" s="12"/>
      <c r="C122" s="60"/>
    </row>
    <row r="123">
      <c r="A123" s="12"/>
      <c r="B123" s="12"/>
      <c r="C123" s="60"/>
    </row>
    <row r="124">
      <c r="A124" s="12"/>
      <c r="B124" s="12"/>
      <c r="C124" s="60"/>
    </row>
    <row r="125">
      <c r="A125" s="12"/>
      <c r="B125" s="12"/>
      <c r="C125" s="60"/>
    </row>
    <row r="126">
      <c r="A126" s="12"/>
      <c r="B126" s="12"/>
      <c r="C126" s="60"/>
    </row>
    <row r="127">
      <c r="A127" s="12"/>
      <c r="B127" s="12"/>
      <c r="C127" s="60"/>
    </row>
    <row r="128">
      <c r="A128" s="12"/>
      <c r="B128" s="12"/>
      <c r="C128" s="60"/>
    </row>
    <row r="129">
      <c r="A129" s="12"/>
      <c r="B129" s="12"/>
      <c r="C129" s="60"/>
    </row>
    <row r="130">
      <c r="A130" s="12"/>
      <c r="B130" s="12"/>
      <c r="C130" s="60"/>
    </row>
    <row r="131">
      <c r="A131" s="12"/>
      <c r="B131" s="12"/>
      <c r="C131" s="60"/>
    </row>
    <row r="132">
      <c r="A132" s="12"/>
      <c r="B132" s="12"/>
      <c r="C132" s="60"/>
    </row>
    <row r="133">
      <c r="A133" s="12"/>
      <c r="B133" s="12"/>
      <c r="C133" s="60"/>
    </row>
    <row r="134">
      <c r="A134" s="12"/>
      <c r="B134" s="12"/>
      <c r="C134" s="60"/>
    </row>
    <row r="135">
      <c r="A135" s="12"/>
      <c r="B135" s="12"/>
      <c r="C135" s="60"/>
    </row>
    <row r="136">
      <c r="A136" s="12"/>
      <c r="B136" s="12"/>
      <c r="C136" s="60"/>
    </row>
    <row r="137">
      <c r="A137" s="12"/>
      <c r="B137" s="12"/>
      <c r="C137" s="60"/>
    </row>
    <row r="138">
      <c r="A138" s="12"/>
      <c r="B138" s="12"/>
      <c r="C138" s="60"/>
    </row>
    <row r="139">
      <c r="A139" s="12"/>
      <c r="B139" s="12"/>
      <c r="C139" s="60"/>
    </row>
    <row r="140">
      <c r="A140" s="12"/>
      <c r="B140" s="12"/>
      <c r="C140" s="60"/>
    </row>
    <row r="141">
      <c r="A141" s="12"/>
      <c r="B141" s="12"/>
      <c r="C141" s="60"/>
    </row>
    <row r="142">
      <c r="A142" s="12"/>
      <c r="B142" s="12"/>
      <c r="C142" s="60"/>
    </row>
    <row r="143">
      <c r="A143" s="12"/>
      <c r="B143" s="12"/>
      <c r="C143" s="60"/>
    </row>
    <row r="144">
      <c r="A144" s="12"/>
      <c r="B144" s="12"/>
      <c r="C144" s="60"/>
    </row>
    <row r="145">
      <c r="A145" s="12"/>
      <c r="B145" s="12"/>
      <c r="C145" s="60"/>
    </row>
    <row r="146">
      <c r="A146" s="12"/>
      <c r="B146" s="12"/>
      <c r="C146" s="60"/>
    </row>
    <row r="147">
      <c r="A147" s="12"/>
      <c r="B147" s="12"/>
      <c r="C147" s="60"/>
    </row>
    <row r="148">
      <c r="A148" s="12"/>
      <c r="B148" s="12"/>
      <c r="C148" s="60"/>
    </row>
    <row r="149">
      <c r="A149" s="12"/>
      <c r="B149" s="12"/>
      <c r="C149" s="60"/>
    </row>
    <row r="150">
      <c r="A150" s="12"/>
      <c r="B150" s="12"/>
      <c r="C150" s="60"/>
    </row>
    <row r="151">
      <c r="A151" s="12"/>
      <c r="B151" s="12"/>
      <c r="C151" s="60"/>
    </row>
    <row r="152">
      <c r="A152" s="12"/>
      <c r="B152" s="12"/>
      <c r="C152" s="60"/>
    </row>
    <row r="153">
      <c r="A153" s="12"/>
      <c r="B153" s="12"/>
      <c r="C153" s="60"/>
    </row>
    <row r="154">
      <c r="A154" s="12"/>
      <c r="B154" s="12"/>
      <c r="C154" s="60"/>
    </row>
    <row r="155">
      <c r="A155" s="12"/>
      <c r="B155" s="12"/>
      <c r="C155" s="60"/>
    </row>
    <row r="156">
      <c r="A156" s="12"/>
      <c r="B156" s="12"/>
      <c r="C156" s="60"/>
    </row>
    <row r="157">
      <c r="A157" s="12"/>
      <c r="B157" s="12"/>
      <c r="C157" s="60"/>
    </row>
    <row r="158">
      <c r="A158" s="12"/>
      <c r="B158" s="12"/>
      <c r="C158" s="60"/>
    </row>
    <row r="159">
      <c r="A159" s="12"/>
      <c r="B159" s="12"/>
      <c r="C159" s="60"/>
    </row>
    <row r="160">
      <c r="A160" s="12"/>
      <c r="B160" s="12"/>
      <c r="C160" s="60"/>
    </row>
    <row r="161">
      <c r="A161" s="12"/>
      <c r="B161" s="12"/>
      <c r="C161" s="60"/>
    </row>
    <row r="162">
      <c r="A162" s="12"/>
      <c r="B162" s="12"/>
      <c r="C162" s="60"/>
    </row>
    <row r="163">
      <c r="A163" s="12"/>
      <c r="B163" s="12"/>
      <c r="C163" s="60"/>
    </row>
    <row r="164">
      <c r="A164" s="12"/>
      <c r="B164" s="12"/>
      <c r="C164" s="60"/>
    </row>
    <row r="165">
      <c r="A165" s="12"/>
      <c r="B165" s="12"/>
      <c r="C165" s="60"/>
    </row>
    <row r="166">
      <c r="A166" s="12"/>
      <c r="B166" s="12"/>
      <c r="C166" s="60"/>
    </row>
    <row r="167">
      <c r="A167" s="12"/>
      <c r="B167" s="12"/>
      <c r="C167" s="60"/>
    </row>
    <row r="168">
      <c r="A168" s="12"/>
      <c r="B168" s="12"/>
      <c r="C168" s="60"/>
    </row>
    <row r="169">
      <c r="A169" s="12"/>
      <c r="B169" s="12"/>
      <c r="C169" s="60"/>
    </row>
    <row r="170">
      <c r="A170" s="12"/>
      <c r="B170" s="12"/>
      <c r="C170" s="60"/>
    </row>
    <row r="171">
      <c r="A171" s="12"/>
      <c r="B171" s="12"/>
      <c r="C171" s="60"/>
    </row>
    <row r="172">
      <c r="A172" s="12"/>
      <c r="B172" s="12"/>
      <c r="C172" s="60"/>
    </row>
    <row r="173">
      <c r="A173" s="12"/>
      <c r="B173" s="12"/>
      <c r="C173" s="60"/>
    </row>
    <row r="174">
      <c r="A174" s="12"/>
      <c r="B174" s="12"/>
      <c r="C174" s="60"/>
    </row>
    <row r="175">
      <c r="A175" s="12"/>
      <c r="B175" s="12"/>
      <c r="C175" s="60"/>
    </row>
    <row r="176">
      <c r="A176" s="12"/>
      <c r="B176" s="12"/>
      <c r="C176" s="60"/>
    </row>
    <row r="177">
      <c r="A177" s="12"/>
      <c r="B177" s="12"/>
      <c r="C177" s="60"/>
    </row>
    <row r="178">
      <c r="A178" s="12"/>
      <c r="B178" s="12"/>
      <c r="C178" s="60"/>
    </row>
    <row r="179">
      <c r="A179" s="12"/>
      <c r="B179" s="12"/>
      <c r="C179" s="60"/>
    </row>
    <row r="180">
      <c r="A180" s="12"/>
      <c r="B180" s="12"/>
      <c r="C180" s="60"/>
    </row>
    <row r="181">
      <c r="A181" s="12"/>
      <c r="B181" s="12"/>
      <c r="C181" s="60"/>
    </row>
    <row r="182">
      <c r="A182" s="12"/>
      <c r="B182" s="12"/>
      <c r="C182" s="60"/>
    </row>
    <row r="183">
      <c r="A183" s="12"/>
      <c r="B183" s="12"/>
      <c r="C183" s="60"/>
    </row>
    <row r="184">
      <c r="A184" s="12"/>
      <c r="B184" s="12"/>
      <c r="C184" s="60"/>
    </row>
    <row r="185">
      <c r="A185" s="12"/>
      <c r="B185" s="12"/>
      <c r="C185" s="60"/>
    </row>
    <row r="186">
      <c r="A186" s="12"/>
      <c r="B186" s="12"/>
      <c r="C186" s="60"/>
    </row>
    <row r="187">
      <c r="A187" s="12"/>
      <c r="B187" s="12"/>
      <c r="C187" s="60"/>
    </row>
    <row r="188">
      <c r="A188" s="12"/>
      <c r="B188" s="12"/>
      <c r="C188" s="60"/>
    </row>
    <row r="189">
      <c r="A189" s="12"/>
      <c r="B189" s="12"/>
      <c r="C189" s="60"/>
    </row>
    <row r="190">
      <c r="A190" s="12"/>
      <c r="B190" s="12"/>
      <c r="C190" s="60"/>
    </row>
    <row r="191">
      <c r="A191" s="12"/>
      <c r="B191" s="12"/>
      <c r="C191" s="60"/>
    </row>
    <row r="192">
      <c r="A192" s="12"/>
      <c r="B192" s="12"/>
      <c r="C192" s="60"/>
    </row>
    <row r="193">
      <c r="A193" s="12"/>
      <c r="B193" s="12"/>
      <c r="C193" s="60"/>
    </row>
    <row r="194">
      <c r="A194" s="12"/>
      <c r="B194" s="12"/>
      <c r="C194" s="60"/>
    </row>
    <row r="195">
      <c r="A195" s="12"/>
      <c r="B195" s="12"/>
      <c r="C195" s="60"/>
    </row>
    <row r="196">
      <c r="A196" s="12"/>
      <c r="B196" s="12"/>
      <c r="C196" s="60"/>
    </row>
    <row r="197">
      <c r="A197" s="12"/>
      <c r="B197" s="12"/>
      <c r="C197" s="60"/>
    </row>
    <row r="198">
      <c r="A198" s="12"/>
      <c r="B198" s="12"/>
      <c r="C198" s="60"/>
    </row>
    <row r="199">
      <c r="A199" s="12"/>
      <c r="B199" s="12"/>
      <c r="C199" s="60"/>
    </row>
    <row r="200">
      <c r="A200" s="12"/>
      <c r="B200" s="12"/>
      <c r="C200" s="60"/>
    </row>
    <row r="201">
      <c r="A201" s="12"/>
      <c r="B201" s="12"/>
      <c r="C201" s="60"/>
    </row>
    <row r="202">
      <c r="A202" s="12"/>
      <c r="B202" s="12"/>
      <c r="C202" s="60"/>
    </row>
    <row r="203">
      <c r="A203" s="12"/>
      <c r="B203" s="12"/>
      <c r="C203" s="60"/>
    </row>
    <row r="204">
      <c r="A204" s="12"/>
      <c r="B204" s="12"/>
      <c r="C204" s="60"/>
    </row>
    <row r="205">
      <c r="A205" s="12"/>
      <c r="B205" s="12"/>
      <c r="C205" s="60"/>
    </row>
    <row r="206">
      <c r="A206" s="12"/>
      <c r="B206" s="12"/>
      <c r="C206" s="60"/>
    </row>
    <row r="207">
      <c r="A207" s="12"/>
      <c r="B207" s="12"/>
      <c r="C207" s="60"/>
    </row>
    <row r="208">
      <c r="A208" s="12"/>
      <c r="B208" s="12"/>
      <c r="C208" s="60"/>
    </row>
    <row r="209">
      <c r="A209" s="12"/>
      <c r="B209" s="12"/>
      <c r="C209" s="60"/>
    </row>
    <row r="210">
      <c r="A210" s="12"/>
      <c r="B210" s="12"/>
      <c r="C210" s="60"/>
    </row>
    <row r="211">
      <c r="A211" s="12"/>
      <c r="B211" s="12"/>
      <c r="C211" s="60"/>
    </row>
    <row r="212">
      <c r="A212" s="12"/>
      <c r="B212" s="12"/>
      <c r="C212" s="60"/>
    </row>
    <row r="213">
      <c r="A213" s="12"/>
      <c r="B213" s="12"/>
      <c r="C213" s="60"/>
    </row>
    <row r="214">
      <c r="A214" s="12"/>
      <c r="B214" s="12"/>
      <c r="C214" s="60"/>
    </row>
    <row r="215">
      <c r="A215" s="12"/>
      <c r="B215" s="12"/>
      <c r="C215" s="60"/>
    </row>
    <row r="216">
      <c r="A216" s="12"/>
      <c r="B216" s="12"/>
      <c r="C216" s="60"/>
    </row>
    <row r="217">
      <c r="A217" s="12"/>
      <c r="B217" s="12"/>
      <c r="C217" s="60"/>
    </row>
    <row r="218">
      <c r="A218" s="12"/>
      <c r="B218" s="12"/>
      <c r="C218" s="60"/>
    </row>
    <row r="219">
      <c r="A219" s="12"/>
      <c r="B219" s="12"/>
      <c r="C219" s="60"/>
    </row>
    <row r="220">
      <c r="A220" s="12"/>
      <c r="B220" s="12"/>
      <c r="C220" s="60"/>
    </row>
    <row r="221">
      <c r="A221" s="12"/>
      <c r="B221" s="12"/>
      <c r="C221" s="60"/>
    </row>
    <row r="222">
      <c r="A222" s="12"/>
      <c r="B222" s="12"/>
      <c r="C222" s="60"/>
    </row>
    <row r="223">
      <c r="A223" s="12"/>
      <c r="B223" s="12"/>
      <c r="C223" s="60"/>
    </row>
    <row r="224">
      <c r="A224" s="12"/>
      <c r="B224" s="12"/>
      <c r="C224" s="60"/>
    </row>
    <row r="225">
      <c r="A225" s="12"/>
      <c r="B225" s="12"/>
      <c r="C225" s="60"/>
    </row>
    <row r="226">
      <c r="A226" s="12"/>
      <c r="B226" s="12"/>
      <c r="C226" s="60"/>
    </row>
    <row r="227">
      <c r="A227" s="12"/>
      <c r="B227" s="12"/>
      <c r="C227" s="60"/>
    </row>
    <row r="228">
      <c r="A228" s="12"/>
      <c r="B228" s="12"/>
      <c r="C228" s="60"/>
    </row>
    <row r="229">
      <c r="A229" s="12"/>
      <c r="B229" s="12"/>
      <c r="C229" s="60"/>
    </row>
    <row r="230">
      <c r="A230" s="12"/>
      <c r="B230" s="12"/>
      <c r="C230" s="60"/>
    </row>
    <row r="231">
      <c r="A231" s="12"/>
      <c r="B231" s="12"/>
      <c r="C231" s="60"/>
    </row>
    <row r="232">
      <c r="A232" s="12"/>
      <c r="B232" s="12"/>
      <c r="C232" s="60"/>
    </row>
    <row r="233">
      <c r="A233" s="12"/>
      <c r="B233" s="12"/>
      <c r="C233" s="60"/>
    </row>
    <row r="234">
      <c r="A234" s="12"/>
      <c r="B234" s="12"/>
      <c r="C234" s="60"/>
    </row>
    <row r="235">
      <c r="A235" s="12"/>
      <c r="B235" s="12"/>
      <c r="C235" s="60"/>
    </row>
    <row r="236">
      <c r="A236" s="12"/>
      <c r="B236" s="12"/>
      <c r="C236" s="60"/>
    </row>
    <row r="237">
      <c r="A237" s="12"/>
      <c r="B237" s="12"/>
      <c r="C237" s="60"/>
    </row>
    <row r="238">
      <c r="A238" s="12"/>
      <c r="B238" s="12"/>
      <c r="C238" s="60"/>
    </row>
    <row r="239">
      <c r="A239" s="12"/>
      <c r="B239" s="12"/>
      <c r="C239" s="60"/>
    </row>
    <row r="240">
      <c r="A240" s="12"/>
      <c r="B240" s="12"/>
      <c r="C240" s="60"/>
    </row>
    <row r="241">
      <c r="A241" s="12"/>
      <c r="B241" s="12"/>
      <c r="C241" s="60"/>
    </row>
    <row r="242">
      <c r="A242" s="12"/>
      <c r="B242" s="12"/>
      <c r="C242" s="60"/>
    </row>
    <row r="243">
      <c r="A243" s="12"/>
      <c r="B243" s="12"/>
      <c r="C243" s="60"/>
    </row>
    <row r="244">
      <c r="A244" s="12"/>
      <c r="B244" s="12"/>
      <c r="C244" s="60"/>
    </row>
    <row r="245">
      <c r="A245" s="12"/>
      <c r="B245" s="12"/>
      <c r="C245" s="60"/>
    </row>
    <row r="246">
      <c r="A246" s="12"/>
      <c r="B246" s="12"/>
      <c r="C246" s="60"/>
    </row>
    <row r="247">
      <c r="A247" s="12"/>
      <c r="B247" s="12"/>
      <c r="C247" s="60"/>
    </row>
    <row r="248">
      <c r="A248" s="12"/>
      <c r="B248" s="12"/>
      <c r="C248" s="60"/>
    </row>
    <row r="249">
      <c r="A249" s="12"/>
      <c r="B249" s="12"/>
      <c r="C249" s="60"/>
    </row>
    <row r="250">
      <c r="A250" s="12"/>
      <c r="B250" s="12"/>
      <c r="C250" s="60"/>
    </row>
    <row r="251">
      <c r="A251" s="12"/>
      <c r="B251" s="12"/>
      <c r="C251" s="60"/>
    </row>
    <row r="252">
      <c r="A252" s="12"/>
      <c r="B252" s="12"/>
      <c r="C252" s="60"/>
    </row>
    <row r="253">
      <c r="A253" s="12"/>
      <c r="B253" s="12"/>
      <c r="C253" s="60"/>
    </row>
    <row r="254">
      <c r="A254" s="12"/>
      <c r="B254" s="12"/>
      <c r="C254" s="60"/>
    </row>
    <row r="255">
      <c r="A255" s="12"/>
      <c r="B255" s="12"/>
      <c r="C255" s="60"/>
    </row>
    <row r="256">
      <c r="A256" s="12"/>
      <c r="B256" s="12"/>
      <c r="C256" s="60"/>
    </row>
    <row r="257">
      <c r="A257" s="12"/>
      <c r="B257" s="12"/>
      <c r="C257" s="60"/>
    </row>
    <row r="258">
      <c r="A258" s="12"/>
      <c r="B258" s="12"/>
      <c r="C258" s="60"/>
    </row>
    <row r="259">
      <c r="A259" s="12"/>
      <c r="B259" s="12"/>
      <c r="C259" s="60"/>
    </row>
    <row r="260">
      <c r="A260" s="12"/>
      <c r="B260" s="12"/>
      <c r="C260" s="60"/>
    </row>
    <row r="261">
      <c r="A261" s="12"/>
      <c r="B261" s="12"/>
      <c r="C261" s="60"/>
    </row>
    <row r="262">
      <c r="A262" s="12"/>
      <c r="B262" s="12"/>
      <c r="C262" s="60"/>
    </row>
    <row r="263">
      <c r="A263" s="12"/>
      <c r="B263" s="12"/>
      <c r="C263" s="60"/>
    </row>
    <row r="264">
      <c r="A264" s="12"/>
      <c r="B264" s="12"/>
      <c r="C264" s="60"/>
    </row>
    <row r="265">
      <c r="A265" s="12"/>
      <c r="B265" s="12"/>
      <c r="C265" s="60"/>
    </row>
    <row r="266">
      <c r="A266" s="12"/>
      <c r="B266" s="12"/>
      <c r="C266" s="60"/>
    </row>
    <row r="267">
      <c r="A267" s="12"/>
      <c r="B267" s="12"/>
      <c r="C267" s="60"/>
    </row>
    <row r="268">
      <c r="A268" s="12"/>
      <c r="B268" s="12"/>
      <c r="C268" s="60"/>
    </row>
    <row r="269">
      <c r="A269" s="12"/>
      <c r="B269" s="12"/>
      <c r="C269" s="60"/>
    </row>
    <row r="270">
      <c r="A270" s="12"/>
      <c r="B270" s="12"/>
      <c r="C270" s="60"/>
    </row>
    <row r="271">
      <c r="A271" s="12"/>
      <c r="B271" s="12"/>
      <c r="C271" s="60"/>
    </row>
    <row r="272">
      <c r="A272" s="12"/>
      <c r="B272" s="12"/>
      <c r="C272" s="60"/>
    </row>
    <row r="273">
      <c r="A273" s="12"/>
      <c r="B273" s="12"/>
      <c r="C273" s="60"/>
    </row>
    <row r="274">
      <c r="A274" s="12"/>
      <c r="B274" s="12"/>
      <c r="C274" s="60"/>
    </row>
    <row r="275">
      <c r="A275" s="12"/>
      <c r="B275" s="12"/>
      <c r="C275" s="60"/>
    </row>
    <row r="276">
      <c r="A276" s="12"/>
      <c r="B276" s="12"/>
      <c r="C276" s="60"/>
    </row>
    <row r="277">
      <c r="A277" s="12"/>
      <c r="B277" s="12"/>
      <c r="C277" s="60"/>
    </row>
    <row r="278">
      <c r="A278" s="12"/>
      <c r="B278" s="12"/>
      <c r="C278" s="60"/>
    </row>
    <row r="279">
      <c r="A279" s="12"/>
      <c r="B279" s="12"/>
      <c r="C279" s="60"/>
    </row>
    <row r="280">
      <c r="A280" s="12"/>
      <c r="B280" s="12"/>
      <c r="C280" s="60"/>
    </row>
    <row r="281">
      <c r="A281" s="12"/>
      <c r="B281" s="12"/>
      <c r="C281" s="60"/>
    </row>
    <row r="282">
      <c r="A282" s="12"/>
      <c r="B282" s="12"/>
      <c r="C282" s="60"/>
    </row>
    <row r="283">
      <c r="A283" s="12"/>
      <c r="B283" s="12"/>
      <c r="C283" s="60"/>
    </row>
    <row r="284">
      <c r="A284" s="12"/>
      <c r="B284" s="12"/>
      <c r="C284" s="60"/>
    </row>
    <row r="285">
      <c r="A285" s="12"/>
      <c r="B285" s="12"/>
      <c r="C285" s="60"/>
    </row>
    <row r="286">
      <c r="A286" s="12"/>
      <c r="B286" s="12"/>
      <c r="C286" s="60"/>
    </row>
    <row r="287">
      <c r="A287" s="12"/>
      <c r="B287" s="12"/>
      <c r="C287" s="60"/>
    </row>
    <row r="288">
      <c r="A288" s="12"/>
      <c r="B288" s="12"/>
      <c r="C288" s="60"/>
    </row>
    <row r="289">
      <c r="A289" s="12"/>
      <c r="B289" s="12"/>
      <c r="C289" s="60"/>
    </row>
    <row r="290">
      <c r="A290" s="12"/>
      <c r="B290" s="12"/>
      <c r="C290" s="60"/>
    </row>
    <row r="291">
      <c r="A291" s="12"/>
      <c r="B291" s="12"/>
      <c r="C291" s="60"/>
    </row>
    <row r="292">
      <c r="A292" s="12"/>
      <c r="B292" s="12"/>
      <c r="C292" s="60"/>
    </row>
    <row r="293">
      <c r="A293" s="12"/>
      <c r="B293" s="12"/>
      <c r="C293" s="60"/>
    </row>
    <row r="294">
      <c r="A294" s="12"/>
      <c r="B294" s="12"/>
      <c r="C294" s="60"/>
    </row>
    <row r="295">
      <c r="A295" s="12"/>
      <c r="B295" s="12"/>
      <c r="C295" s="60"/>
    </row>
    <row r="296">
      <c r="A296" s="12"/>
      <c r="B296" s="12"/>
      <c r="C296" s="60"/>
    </row>
    <row r="297">
      <c r="A297" s="12"/>
      <c r="B297" s="12"/>
      <c r="C297" s="60"/>
    </row>
    <row r="298">
      <c r="A298" s="12"/>
      <c r="B298" s="12"/>
      <c r="C298" s="60"/>
    </row>
    <row r="299">
      <c r="A299" s="12"/>
      <c r="B299" s="12"/>
      <c r="C299" s="60"/>
    </row>
    <row r="300">
      <c r="A300" s="12"/>
      <c r="B300" s="12"/>
      <c r="C300" s="60"/>
    </row>
    <row r="301">
      <c r="A301" s="12"/>
      <c r="B301" s="12"/>
      <c r="C301" s="60"/>
    </row>
    <row r="302">
      <c r="A302" s="12"/>
      <c r="B302" s="12"/>
      <c r="C302" s="60"/>
    </row>
    <row r="303">
      <c r="A303" s="12"/>
      <c r="B303" s="12"/>
      <c r="C303" s="60"/>
    </row>
    <row r="304">
      <c r="A304" s="12"/>
      <c r="B304" s="12"/>
      <c r="C304" s="60"/>
    </row>
    <row r="305">
      <c r="A305" s="12"/>
      <c r="B305" s="12"/>
      <c r="C305" s="60"/>
    </row>
    <row r="306">
      <c r="A306" s="12"/>
      <c r="B306" s="12"/>
      <c r="C306" s="60"/>
    </row>
    <row r="307">
      <c r="A307" s="12"/>
      <c r="B307" s="12"/>
      <c r="C307" s="60"/>
    </row>
    <row r="308">
      <c r="A308" s="12"/>
      <c r="B308" s="12"/>
      <c r="C308" s="60"/>
    </row>
    <row r="309">
      <c r="A309" s="12"/>
      <c r="B309" s="12"/>
      <c r="C309" s="60"/>
    </row>
    <row r="310">
      <c r="A310" s="12"/>
      <c r="B310" s="12"/>
      <c r="C310" s="60"/>
    </row>
    <row r="311">
      <c r="A311" s="12"/>
      <c r="B311" s="12"/>
      <c r="C311" s="60"/>
    </row>
    <row r="312">
      <c r="A312" s="12"/>
      <c r="B312" s="12"/>
      <c r="C312" s="60"/>
    </row>
    <row r="313">
      <c r="A313" s="12"/>
      <c r="B313" s="12"/>
      <c r="C313" s="60"/>
    </row>
    <row r="314">
      <c r="A314" s="12"/>
      <c r="B314" s="12"/>
      <c r="C314" s="60"/>
    </row>
    <row r="315">
      <c r="A315" s="12"/>
      <c r="B315" s="12"/>
      <c r="C315" s="60"/>
    </row>
    <row r="316">
      <c r="A316" s="12"/>
      <c r="B316" s="12"/>
      <c r="C316" s="60"/>
    </row>
    <row r="317">
      <c r="A317" s="12"/>
      <c r="B317" s="12"/>
      <c r="C317" s="60"/>
    </row>
    <row r="318">
      <c r="A318" s="12"/>
      <c r="B318" s="12"/>
      <c r="C318" s="60"/>
    </row>
    <row r="319">
      <c r="A319" s="12"/>
      <c r="B319" s="12"/>
      <c r="C319" s="60"/>
    </row>
    <row r="320">
      <c r="A320" s="12"/>
      <c r="B320" s="12"/>
      <c r="C320" s="60"/>
    </row>
    <row r="321">
      <c r="A321" s="12"/>
      <c r="B321" s="12"/>
      <c r="C321" s="60"/>
    </row>
    <row r="322">
      <c r="A322" s="12"/>
      <c r="B322" s="12"/>
      <c r="C322" s="60"/>
    </row>
    <row r="323">
      <c r="A323" s="12"/>
      <c r="B323" s="12"/>
      <c r="C323" s="60"/>
    </row>
    <row r="324">
      <c r="A324" s="12"/>
      <c r="B324" s="12"/>
      <c r="C324" s="60"/>
    </row>
    <row r="325">
      <c r="A325" s="12"/>
      <c r="B325" s="12"/>
      <c r="C325" s="60"/>
    </row>
    <row r="326">
      <c r="A326" s="12"/>
      <c r="B326" s="12"/>
      <c r="C326" s="60"/>
    </row>
    <row r="327">
      <c r="A327" s="12"/>
      <c r="B327" s="12"/>
      <c r="C327" s="60"/>
    </row>
    <row r="328">
      <c r="A328" s="12"/>
      <c r="B328" s="12"/>
      <c r="C328" s="60"/>
    </row>
    <row r="329">
      <c r="A329" s="12"/>
      <c r="B329" s="12"/>
      <c r="C329" s="60"/>
    </row>
    <row r="330">
      <c r="A330" s="12"/>
      <c r="B330" s="12"/>
      <c r="C330" s="60"/>
    </row>
    <row r="331">
      <c r="A331" s="12"/>
      <c r="B331" s="12"/>
      <c r="C331" s="60"/>
    </row>
    <row r="332">
      <c r="A332" s="12"/>
      <c r="B332" s="12"/>
      <c r="C332" s="60"/>
    </row>
    <row r="333">
      <c r="A333" s="12"/>
      <c r="B333" s="12"/>
      <c r="C333" s="60"/>
    </row>
    <row r="334">
      <c r="A334" s="12"/>
      <c r="B334" s="12"/>
      <c r="C334" s="60"/>
    </row>
    <row r="335">
      <c r="A335" s="12"/>
      <c r="B335" s="12"/>
      <c r="C335" s="60"/>
    </row>
    <row r="336">
      <c r="A336" s="12"/>
      <c r="B336" s="12"/>
      <c r="C336" s="60"/>
    </row>
    <row r="337">
      <c r="A337" s="12"/>
      <c r="B337" s="12"/>
      <c r="C337" s="60"/>
    </row>
    <row r="338">
      <c r="A338" s="12"/>
      <c r="B338" s="12"/>
      <c r="C338" s="60"/>
    </row>
    <row r="339">
      <c r="A339" s="12"/>
      <c r="B339" s="12"/>
      <c r="C339" s="60"/>
    </row>
    <row r="340">
      <c r="A340" s="12"/>
      <c r="B340" s="12"/>
      <c r="C340" s="60"/>
    </row>
    <row r="341">
      <c r="A341" s="12"/>
      <c r="B341" s="12"/>
      <c r="C341" s="60"/>
    </row>
    <row r="342">
      <c r="A342" s="12"/>
      <c r="B342" s="12"/>
      <c r="C342" s="60"/>
    </row>
    <row r="343">
      <c r="A343" s="12"/>
      <c r="B343" s="12"/>
      <c r="C343" s="60"/>
    </row>
    <row r="344">
      <c r="A344" s="12"/>
      <c r="B344" s="12"/>
      <c r="C344" s="60"/>
    </row>
    <row r="345">
      <c r="A345" s="12"/>
      <c r="B345" s="12"/>
      <c r="C345" s="60"/>
    </row>
    <row r="346">
      <c r="A346" s="12"/>
      <c r="B346" s="12"/>
      <c r="C346" s="60"/>
    </row>
    <row r="347">
      <c r="A347" s="12"/>
      <c r="B347" s="12"/>
      <c r="C347" s="60"/>
    </row>
    <row r="348">
      <c r="A348" s="12"/>
      <c r="B348" s="12"/>
      <c r="C348" s="60"/>
    </row>
    <row r="349">
      <c r="A349" s="12"/>
      <c r="B349" s="12"/>
      <c r="C349" s="60"/>
    </row>
    <row r="350">
      <c r="A350" s="12"/>
      <c r="B350" s="12"/>
      <c r="C350" s="60"/>
    </row>
    <row r="351">
      <c r="A351" s="12"/>
      <c r="B351" s="12"/>
      <c r="C351" s="60"/>
    </row>
    <row r="352">
      <c r="A352" s="12"/>
      <c r="B352" s="12"/>
      <c r="C352" s="60"/>
    </row>
    <row r="353">
      <c r="A353" s="12"/>
      <c r="B353" s="12"/>
      <c r="C353" s="60"/>
    </row>
    <row r="354">
      <c r="A354" s="12"/>
      <c r="B354" s="12"/>
      <c r="C354" s="60"/>
    </row>
    <row r="355">
      <c r="A355" s="12"/>
      <c r="B355" s="12"/>
      <c r="C355" s="60"/>
    </row>
    <row r="356">
      <c r="A356" s="12"/>
      <c r="B356" s="12"/>
      <c r="C356" s="60"/>
    </row>
    <row r="357">
      <c r="A357" s="12"/>
      <c r="B357" s="12"/>
      <c r="C357" s="60"/>
    </row>
    <row r="358">
      <c r="A358" s="12"/>
      <c r="B358" s="12"/>
      <c r="C358" s="60"/>
    </row>
    <row r="359">
      <c r="A359" s="12"/>
      <c r="B359" s="12"/>
      <c r="C359" s="60"/>
    </row>
    <row r="360">
      <c r="A360" s="12"/>
      <c r="B360" s="12"/>
      <c r="C360" s="60"/>
    </row>
    <row r="361">
      <c r="A361" s="12"/>
      <c r="B361" s="12"/>
      <c r="C361" s="60"/>
    </row>
    <row r="362">
      <c r="A362" s="12"/>
      <c r="B362" s="12"/>
      <c r="C362" s="60"/>
    </row>
    <row r="363">
      <c r="A363" s="12"/>
      <c r="B363" s="12"/>
      <c r="C363" s="60"/>
    </row>
    <row r="364">
      <c r="A364" s="12"/>
      <c r="B364" s="12"/>
      <c r="C364" s="60"/>
    </row>
    <row r="365">
      <c r="A365" s="12"/>
      <c r="B365" s="12"/>
      <c r="C365" s="60"/>
    </row>
    <row r="366">
      <c r="A366" s="12"/>
      <c r="B366" s="12"/>
      <c r="C366" s="60"/>
    </row>
    <row r="367">
      <c r="A367" s="12"/>
      <c r="B367" s="12"/>
      <c r="C367" s="60"/>
    </row>
    <row r="368">
      <c r="A368" s="12"/>
      <c r="B368" s="12"/>
      <c r="C368" s="60"/>
    </row>
    <row r="369">
      <c r="A369" s="12"/>
      <c r="B369" s="12"/>
      <c r="C369" s="60"/>
    </row>
    <row r="370">
      <c r="A370" s="12"/>
      <c r="B370" s="12"/>
      <c r="C370" s="60"/>
    </row>
    <row r="371">
      <c r="A371" s="12"/>
      <c r="B371" s="12"/>
      <c r="C371" s="60"/>
    </row>
    <row r="372">
      <c r="A372" s="12"/>
      <c r="B372" s="12"/>
      <c r="C372" s="60"/>
    </row>
    <row r="373">
      <c r="A373" s="12"/>
      <c r="B373" s="12"/>
      <c r="C373" s="60"/>
    </row>
    <row r="374">
      <c r="A374" s="12"/>
      <c r="B374" s="12"/>
      <c r="C374" s="60"/>
    </row>
    <row r="375">
      <c r="A375" s="12"/>
      <c r="B375" s="12"/>
      <c r="C375" s="60"/>
    </row>
    <row r="376">
      <c r="A376" s="12"/>
      <c r="B376" s="12"/>
      <c r="C376" s="60"/>
    </row>
    <row r="377">
      <c r="A377" s="12"/>
      <c r="B377" s="12"/>
      <c r="C377" s="60"/>
    </row>
    <row r="378">
      <c r="A378" s="12"/>
      <c r="B378" s="12"/>
      <c r="C378" s="60"/>
    </row>
    <row r="379">
      <c r="A379" s="12"/>
      <c r="B379" s="12"/>
      <c r="C379" s="60"/>
    </row>
    <row r="380">
      <c r="A380" s="12"/>
      <c r="B380" s="12"/>
      <c r="C380" s="60"/>
    </row>
    <row r="381">
      <c r="A381" s="12"/>
      <c r="B381" s="12"/>
      <c r="C381" s="60"/>
    </row>
    <row r="382">
      <c r="A382" s="12"/>
      <c r="B382" s="12"/>
      <c r="C382" s="60"/>
    </row>
    <row r="383">
      <c r="A383" s="12"/>
      <c r="B383" s="12"/>
      <c r="C383" s="60"/>
    </row>
    <row r="384">
      <c r="A384" s="12"/>
      <c r="B384" s="12"/>
      <c r="C384" s="60"/>
    </row>
    <row r="385">
      <c r="A385" s="12"/>
      <c r="B385" s="12"/>
      <c r="C385" s="60"/>
    </row>
    <row r="386">
      <c r="A386" s="12"/>
      <c r="B386" s="12"/>
      <c r="C386" s="60"/>
    </row>
    <row r="387">
      <c r="A387" s="12"/>
      <c r="B387" s="12"/>
      <c r="C387" s="60"/>
    </row>
    <row r="388">
      <c r="A388" s="12"/>
      <c r="B388" s="12"/>
      <c r="C388" s="60"/>
    </row>
    <row r="389">
      <c r="A389" s="12"/>
      <c r="B389" s="12"/>
      <c r="C389" s="60"/>
    </row>
    <row r="390">
      <c r="A390" s="12"/>
      <c r="B390" s="12"/>
      <c r="C390" s="60"/>
    </row>
    <row r="391">
      <c r="A391" s="12"/>
      <c r="B391" s="12"/>
      <c r="C391" s="60"/>
    </row>
    <row r="392">
      <c r="A392" s="12"/>
      <c r="B392" s="12"/>
      <c r="C392" s="60"/>
    </row>
    <row r="393">
      <c r="A393" s="12"/>
      <c r="B393" s="12"/>
      <c r="C393" s="60"/>
    </row>
    <row r="394">
      <c r="A394" s="12"/>
      <c r="B394" s="12"/>
      <c r="C394" s="60"/>
    </row>
    <row r="395">
      <c r="A395" s="12"/>
      <c r="B395" s="12"/>
      <c r="C395" s="60"/>
    </row>
    <row r="396">
      <c r="A396" s="12"/>
      <c r="B396" s="12"/>
      <c r="C396" s="60"/>
    </row>
    <row r="397">
      <c r="A397" s="12"/>
      <c r="B397" s="12"/>
      <c r="C397" s="60"/>
    </row>
    <row r="398">
      <c r="A398" s="12"/>
      <c r="B398" s="12"/>
      <c r="C398" s="60"/>
    </row>
    <row r="399">
      <c r="A399" s="12"/>
      <c r="B399" s="12"/>
      <c r="C399" s="60"/>
    </row>
    <row r="400">
      <c r="A400" s="12"/>
      <c r="B400" s="12"/>
      <c r="C400" s="60"/>
    </row>
    <row r="401">
      <c r="A401" s="12"/>
      <c r="B401" s="12"/>
      <c r="C401" s="60"/>
    </row>
    <row r="402">
      <c r="A402" s="12"/>
      <c r="B402" s="12"/>
      <c r="C402" s="60"/>
    </row>
    <row r="403">
      <c r="A403" s="12"/>
      <c r="B403" s="12"/>
      <c r="C403" s="60"/>
    </row>
    <row r="404">
      <c r="A404" s="12"/>
      <c r="B404" s="12"/>
      <c r="C404" s="60"/>
    </row>
    <row r="405">
      <c r="A405" s="12"/>
      <c r="B405" s="12"/>
      <c r="C405" s="60"/>
    </row>
    <row r="406">
      <c r="A406" s="12"/>
      <c r="B406" s="12"/>
      <c r="C406" s="60"/>
    </row>
    <row r="407">
      <c r="A407" s="12"/>
      <c r="B407" s="12"/>
      <c r="C407" s="60"/>
    </row>
    <row r="408">
      <c r="A408" s="12"/>
      <c r="B408" s="12"/>
      <c r="C408" s="60"/>
    </row>
    <row r="409">
      <c r="A409" s="12"/>
      <c r="B409" s="12"/>
      <c r="C409" s="60"/>
    </row>
    <row r="410">
      <c r="A410" s="12"/>
      <c r="B410" s="12"/>
      <c r="C410" s="60"/>
    </row>
    <row r="411">
      <c r="A411" s="12"/>
      <c r="B411" s="12"/>
      <c r="C411" s="60"/>
    </row>
    <row r="412">
      <c r="A412" s="12"/>
      <c r="B412" s="12"/>
      <c r="C412" s="60"/>
    </row>
    <row r="413">
      <c r="A413" s="12"/>
      <c r="B413" s="12"/>
      <c r="C413" s="60"/>
    </row>
    <row r="414">
      <c r="A414" s="12"/>
      <c r="B414" s="12"/>
      <c r="C414" s="60"/>
    </row>
    <row r="415">
      <c r="A415" s="12"/>
      <c r="B415" s="12"/>
      <c r="C415" s="60"/>
    </row>
    <row r="416">
      <c r="A416" s="12"/>
      <c r="B416" s="12"/>
      <c r="C416" s="60"/>
    </row>
    <row r="417">
      <c r="A417" s="12"/>
      <c r="B417" s="12"/>
      <c r="C417" s="60"/>
    </row>
    <row r="418">
      <c r="A418" s="12"/>
      <c r="B418" s="12"/>
      <c r="C418" s="60"/>
    </row>
    <row r="419">
      <c r="A419" s="12"/>
      <c r="B419" s="12"/>
      <c r="C419" s="60"/>
    </row>
    <row r="420">
      <c r="A420" s="12"/>
      <c r="B420" s="12"/>
      <c r="C420" s="60"/>
    </row>
    <row r="421">
      <c r="A421" s="12"/>
      <c r="B421" s="12"/>
      <c r="C421" s="60"/>
    </row>
    <row r="422">
      <c r="A422" s="12"/>
      <c r="B422" s="12"/>
      <c r="C422" s="60"/>
    </row>
    <row r="423">
      <c r="A423" s="12"/>
      <c r="B423" s="12"/>
      <c r="C423" s="60"/>
    </row>
    <row r="424">
      <c r="A424" s="12"/>
      <c r="B424" s="12"/>
      <c r="C424" s="60"/>
    </row>
    <row r="425">
      <c r="A425" s="12"/>
      <c r="B425" s="12"/>
      <c r="C425" s="60"/>
    </row>
    <row r="426">
      <c r="A426" s="12"/>
      <c r="B426" s="12"/>
      <c r="C426" s="60"/>
    </row>
    <row r="427">
      <c r="A427" s="12"/>
      <c r="B427" s="12"/>
      <c r="C427" s="60"/>
    </row>
    <row r="428">
      <c r="A428" s="12"/>
      <c r="B428" s="12"/>
      <c r="C428" s="60"/>
    </row>
    <row r="429">
      <c r="A429" s="12"/>
      <c r="B429" s="12"/>
      <c r="C429" s="60"/>
    </row>
    <row r="430">
      <c r="A430" s="12"/>
      <c r="B430" s="12"/>
      <c r="C430" s="60"/>
    </row>
    <row r="431">
      <c r="A431" s="12"/>
      <c r="B431" s="12"/>
      <c r="C431" s="60"/>
    </row>
    <row r="432">
      <c r="A432" s="12"/>
      <c r="B432" s="12"/>
      <c r="C432" s="60"/>
    </row>
    <row r="433">
      <c r="A433" s="12"/>
      <c r="B433" s="12"/>
      <c r="C433" s="60"/>
    </row>
    <row r="434">
      <c r="A434" s="12"/>
      <c r="B434" s="12"/>
      <c r="C434" s="60"/>
    </row>
    <row r="435">
      <c r="A435" s="12"/>
      <c r="B435" s="12"/>
      <c r="C435" s="60"/>
    </row>
    <row r="436">
      <c r="A436" s="12"/>
      <c r="B436" s="12"/>
      <c r="C436" s="60"/>
    </row>
    <row r="437">
      <c r="A437" s="12"/>
      <c r="B437" s="12"/>
      <c r="C437" s="60"/>
    </row>
    <row r="438">
      <c r="A438" s="12"/>
      <c r="B438" s="12"/>
      <c r="C438" s="60"/>
    </row>
    <row r="439">
      <c r="A439" s="12"/>
      <c r="B439" s="12"/>
      <c r="C439" s="60"/>
    </row>
    <row r="440">
      <c r="A440" s="12"/>
      <c r="B440" s="12"/>
      <c r="C440" s="60"/>
    </row>
    <row r="441">
      <c r="A441" s="12"/>
      <c r="B441" s="12"/>
      <c r="C441" s="60"/>
    </row>
    <row r="442">
      <c r="A442" s="12"/>
      <c r="B442" s="12"/>
      <c r="C442" s="60"/>
    </row>
    <row r="443">
      <c r="A443" s="12"/>
      <c r="B443" s="12"/>
      <c r="C443" s="60"/>
    </row>
    <row r="444">
      <c r="A444" s="12"/>
      <c r="B444" s="12"/>
      <c r="C444" s="60"/>
    </row>
    <row r="445">
      <c r="A445" s="12"/>
      <c r="B445" s="12"/>
      <c r="C445" s="60"/>
    </row>
    <row r="446">
      <c r="A446" s="12"/>
      <c r="B446" s="12"/>
      <c r="C446" s="60"/>
    </row>
    <row r="447">
      <c r="A447" s="12"/>
      <c r="B447" s="12"/>
      <c r="C447" s="60"/>
    </row>
    <row r="448">
      <c r="A448" s="12"/>
      <c r="B448" s="12"/>
      <c r="C448" s="60"/>
    </row>
    <row r="449">
      <c r="A449" s="12"/>
      <c r="B449" s="12"/>
      <c r="C449" s="60"/>
    </row>
    <row r="450">
      <c r="A450" s="12"/>
      <c r="B450" s="12"/>
      <c r="C450" s="60"/>
    </row>
    <row r="451">
      <c r="A451" s="12"/>
      <c r="B451" s="12"/>
      <c r="C451" s="60"/>
    </row>
    <row r="452">
      <c r="A452" s="12"/>
      <c r="B452" s="12"/>
      <c r="C452" s="60"/>
    </row>
    <row r="453">
      <c r="A453" s="12"/>
      <c r="B453" s="12"/>
      <c r="C453" s="60"/>
    </row>
    <row r="454">
      <c r="A454" s="12"/>
      <c r="B454" s="12"/>
      <c r="C454" s="60"/>
    </row>
    <row r="455">
      <c r="A455" s="12"/>
      <c r="B455" s="12"/>
      <c r="C455" s="60"/>
    </row>
    <row r="456">
      <c r="A456" s="12"/>
      <c r="B456" s="12"/>
      <c r="C456" s="60"/>
    </row>
    <row r="457">
      <c r="A457" s="12"/>
      <c r="B457" s="12"/>
      <c r="C457" s="60"/>
    </row>
    <row r="458">
      <c r="A458" s="12"/>
      <c r="B458" s="12"/>
      <c r="C458" s="60"/>
    </row>
    <row r="459">
      <c r="A459" s="12"/>
      <c r="B459" s="12"/>
      <c r="C459" s="60"/>
    </row>
    <row r="460">
      <c r="A460" s="12"/>
      <c r="B460" s="12"/>
      <c r="C460" s="60"/>
    </row>
    <row r="461">
      <c r="A461" s="12"/>
      <c r="B461" s="12"/>
      <c r="C461" s="60"/>
    </row>
    <row r="462">
      <c r="A462" s="12"/>
      <c r="B462" s="12"/>
      <c r="C462" s="60"/>
    </row>
    <row r="463">
      <c r="A463" s="12"/>
      <c r="B463" s="12"/>
      <c r="C463" s="60"/>
    </row>
    <row r="464">
      <c r="A464" s="12"/>
      <c r="B464" s="12"/>
      <c r="C464" s="60"/>
    </row>
    <row r="465">
      <c r="A465" s="12"/>
      <c r="B465" s="12"/>
      <c r="C465" s="60"/>
    </row>
    <row r="466">
      <c r="A466" s="12"/>
      <c r="B466" s="12"/>
      <c r="C466" s="60"/>
    </row>
    <row r="467">
      <c r="A467" s="12"/>
      <c r="B467" s="12"/>
      <c r="C467" s="60"/>
    </row>
    <row r="468">
      <c r="A468" s="12"/>
      <c r="B468" s="12"/>
      <c r="C468" s="60"/>
    </row>
    <row r="469">
      <c r="A469" s="12"/>
      <c r="B469" s="12"/>
      <c r="C469" s="60"/>
    </row>
    <row r="470">
      <c r="A470" s="12"/>
      <c r="B470" s="12"/>
      <c r="C470" s="60"/>
    </row>
    <row r="471">
      <c r="A471" s="12"/>
      <c r="B471" s="12"/>
      <c r="C471" s="60"/>
    </row>
    <row r="472">
      <c r="A472" s="12"/>
      <c r="B472" s="12"/>
      <c r="C472" s="60"/>
    </row>
    <row r="473">
      <c r="A473" s="12"/>
      <c r="B473" s="12"/>
      <c r="C473" s="60"/>
    </row>
    <row r="474">
      <c r="A474" s="12"/>
      <c r="B474" s="12"/>
      <c r="C474" s="60"/>
    </row>
    <row r="475">
      <c r="A475" s="12"/>
      <c r="B475" s="12"/>
      <c r="C475" s="60"/>
    </row>
    <row r="476">
      <c r="A476" s="12"/>
      <c r="B476" s="12"/>
      <c r="C476" s="60"/>
    </row>
    <row r="477">
      <c r="A477" s="12"/>
      <c r="B477" s="12"/>
      <c r="C477" s="60"/>
    </row>
    <row r="478">
      <c r="A478" s="12"/>
      <c r="B478" s="12"/>
      <c r="C478" s="60"/>
    </row>
    <row r="479">
      <c r="A479" s="12"/>
      <c r="B479" s="12"/>
      <c r="C479" s="60"/>
    </row>
    <row r="480">
      <c r="A480" s="12"/>
      <c r="B480" s="12"/>
      <c r="C480" s="60"/>
    </row>
    <row r="481">
      <c r="A481" s="12"/>
      <c r="B481" s="12"/>
      <c r="C481" s="60"/>
    </row>
    <row r="482">
      <c r="A482" s="12"/>
      <c r="B482" s="12"/>
      <c r="C482" s="60"/>
    </row>
    <row r="483">
      <c r="A483" s="12"/>
      <c r="B483" s="12"/>
      <c r="C483" s="60"/>
    </row>
    <row r="484">
      <c r="A484" s="12"/>
      <c r="B484" s="12"/>
      <c r="C484" s="60"/>
    </row>
    <row r="485">
      <c r="A485" s="12"/>
      <c r="B485" s="12"/>
      <c r="C485" s="60"/>
    </row>
    <row r="486">
      <c r="A486" s="12"/>
      <c r="B486" s="12"/>
      <c r="C486" s="60"/>
    </row>
    <row r="487">
      <c r="A487" s="12"/>
      <c r="B487" s="12"/>
      <c r="C487" s="60"/>
    </row>
    <row r="488">
      <c r="A488" s="12"/>
      <c r="B488" s="12"/>
      <c r="C488" s="60"/>
    </row>
    <row r="489">
      <c r="A489" s="12"/>
      <c r="B489" s="12"/>
      <c r="C489" s="60"/>
    </row>
    <row r="490">
      <c r="A490" s="12"/>
      <c r="B490" s="12"/>
      <c r="C490" s="60"/>
    </row>
    <row r="491">
      <c r="A491" s="12"/>
      <c r="B491" s="12"/>
      <c r="C491" s="60"/>
    </row>
    <row r="492">
      <c r="A492" s="12"/>
      <c r="B492" s="12"/>
      <c r="C492" s="60"/>
    </row>
    <row r="493">
      <c r="A493" s="12"/>
      <c r="B493" s="12"/>
      <c r="C493" s="60"/>
    </row>
    <row r="494">
      <c r="A494" s="12"/>
      <c r="B494" s="12"/>
      <c r="C494" s="60"/>
    </row>
    <row r="495">
      <c r="A495" s="12"/>
      <c r="B495" s="12"/>
      <c r="C495" s="60"/>
    </row>
    <row r="496">
      <c r="A496" s="12"/>
      <c r="B496" s="12"/>
      <c r="C496" s="60"/>
    </row>
    <row r="497">
      <c r="A497" s="12"/>
      <c r="B497" s="12"/>
      <c r="C497" s="60"/>
    </row>
    <row r="498">
      <c r="A498" s="12"/>
      <c r="B498" s="12"/>
      <c r="C498" s="60"/>
    </row>
    <row r="499">
      <c r="A499" s="12"/>
      <c r="B499" s="12"/>
      <c r="C499" s="60"/>
    </row>
    <row r="500">
      <c r="A500" s="12"/>
      <c r="B500" s="12"/>
      <c r="C500" s="60"/>
    </row>
    <row r="501">
      <c r="A501" s="12"/>
      <c r="B501" s="12"/>
      <c r="C501" s="60"/>
    </row>
    <row r="502">
      <c r="A502" s="12"/>
      <c r="B502" s="12"/>
      <c r="C502" s="60"/>
    </row>
    <row r="503">
      <c r="A503" s="12"/>
      <c r="B503" s="12"/>
      <c r="C503" s="60"/>
    </row>
    <row r="504">
      <c r="A504" s="12"/>
      <c r="B504" s="12"/>
      <c r="C504" s="60"/>
    </row>
    <row r="505">
      <c r="A505" s="12"/>
      <c r="B505" s="12"/>
      <c r="C505" s="60"/>
    </row>
    <row r="506">
      <c r="A506" s="12"/>
      <c r="B506" s="12"/>
      <c r="C506" s="60"/>
    </row>
    <row r="507">
      <c r="A507" s="12"/>
      <c r="B507" s="12"/>
      <c r="C507" s="60"/>
    </row>
    <row r="508">
      <c r="A508" s="12"/>
      <c r="B508" s="12"/>
      <c r="C508" s="60"/>
    </row>
    <row r="509">
      <c r="A509" s="12"/>
      <c r="B509" s="12"/>
      <c r="C509" s="60"/>
    </row>
    <row r="510">
      <c r="A510" s="12"/>
      <c r="B510" s="12"/>
      <c r="C510" s="60"/>
    </row>
    <row r="511">
      <c r="A511" s="12"/>
      <c r="B511" s="12"/>
      <c r="C511" s="60"/>
    </row>
    <row r="512">
      <c r="A512" s="12"/>
      <c r="B512" s="12"/>
      <c r="C512" s="60"/>
    </row>
    <row r="513">
      <c r="A513" s="12"/>
      <c r="B513" s="12"/>
      <c r="C513" s="60"/>
    </row>
    <row r="514">
      <c r="A514" s="12"/>
      <c r="B514" s="12"/>
      <c r="C514" s="60"/>
    </row>
    <row r="515">
      <c r="A515" s="12"/>
      <c r="B515" s="12"/>
      <c r="C515" s="60"/>
    </row>
    <row r="516">
      <c r="A516" s="12"/>
      <c r="B516" s="12"/>
      <c r="C516" s="60"/>
    </row>
    <row r="517">
      <c r="A517" s="12"/>
      <c r="B517" s="12"/>
      <c r="C517" s="60"/>
    </row>
    <row r="518">
      <c r="A518" s="12"/>
      <c r="B518" s="12"/>
      <c r="C518" s="60"/>
    </row>
    <row r="519">
      <c r="A519" s="12"/>
      <c r="B519" s="12"/>
      <c r="C519" s="60"/>
    </row>
    <row r="520">
      <c r="A520" s="12"/>
      <c r="B520" s="12"/>
      <c r="C520" s="60"/>
    </row>
    <row r="521">
      <c r="A521" s="12"/>
      <c r="B521" s="12"/>
      <c r="C521" s="60"/>
    </row>
    <row r="522">
      <c r="A522" s="12"/>
      <c r="B522" s="12"/>
      <c r="C522" s="60"/>
    </row>
    <row r="523">
      <c r="A523" s="12"/>
      <c r="B523" s="12"/>
      <c r="C523" s="60"/>
    </row>
    <row r="524">
      <c r="A524" s="12"/>
      <c r="B524" s="12"/>
      <c r="C524" s="60"/>
    </row>
    <row r="525">
      <c r="A525" s="12"/>
      <c r="B525" s="12"/>
      <c r="C525" s="60"/>
    </row>
    <row r="526">
      <c r="A526" s="12"/>
      <c r="B526" s="12"/>
      <c r="C526" s="60"/>
    </row>
    <row r="527">
      <c r="A527" s="12"/>
      <c r="B527" s="12"/>
      <c r="C527" s="60"/>
    </row>
    <row r="528">
      <c r="A528" s="12"/>
      <c r="B528" s="12"/>
      <c r="C528" s="60"/>
    </row>
    <row r="529">
      <c r="A529" s="12"/>
      <c r="B529" s="12"/>
      <c r="C529" s="60"/>
    </row>
    <row r="530">
      <c r="A530" s="12"/>
      <c r="B530" s="12"/>
      <c r="C530" s="60"/>
    </row>
    <row r="531">
      <c r="A531" s="12"/>
      <c r="B531" s="12"/>
      <c r="C531" s="60"/>
    </row>
    <row r="532">
      <c r="A532" s="12"/>
      <c r="B532" s="12"/>
      <c r="C532" s="60"/>
    </row>
    <row r="533">
      <c r="A533" s="12"/>
      <c r="B533" s="12"/>
      <c r="C533" s="60"/>
    </row>
    <row r="534">
      <c r="A534" s="12"/>
      <c r="B534" s="12"/>
      <c r="C534" s="60"/>
    </row>
    <row r="535">
      <c r="A535" s="12"/>
      <c r="B535" s="12"/>
      <c r="C535" s="60"/>
    </row>
    <row r="536">
      <c r="A536" s="12"/>
      <c r="B536" s="12"/>
      <c r="C536" s="60"/>
    </row>
    <row r="537">
      <c r="A537" s="12"/>
      <c r="B537" s="12"/>
      <c r="C537" s="60"/>
    </row>
    <row r="538">
      <c r="A538" s="12"/>
      <c r="B538" s="12"/>
      <c r="C538" s="60"/>
    </row>
    <row r="539">
      <c r="A539" s="12"/>
      <c r="B539" s="12"/>
      <c r="C539" s="60"/>
    </row>
    <row r="540">
      <c r="A540" s="12"/>
      <c r="B540" s="12"/>
      <c r="C540" s="60"/>
    </row>
    <row r="541">
      <c r="A541" s="12"/>
      <c r="B541" s="12"/>
      <c r="C541" s="60"/>
    </row>
    <row r="542">
      <c r="A542" s="12"/>
      <c r="B542" s="12"/>
      <c r="C542" s="60"/>
    </row>
    <row r="543">
      <c r="A543" s="12"/>
      <c r="B543" s="12"/>
      <c r="C543" s="60"/>
    </row>
    <row r="544">
      <c r="A544" s="12"/>
      <c r="B544" s="12"/>
      <c r="C544" s="60"/>
    </row>
    <row r="545">
      <c r="A545" s="12"/>
      <c r="B545" s="12"/>
      <c r="C545" s="60"/>
    </row>
    <row r="546">
      <c r="A546" s="12"/>
      <c r="B546" s="12"/>
      <c r="C546" s="60"/>
    </row>
    <row r="547">
      <c r="A547" s="12"/>
      <c r="B547" s="12"/>
      <c r="C547" s="60"/>
    </row>
    <row r="548">
      <c r="A548" s="12"/>
      <c r="B548" s="12"/>
      <c r="C548" s="60"/>
    </row>
    <row r="549">
      <c r="A549" s="12"/>
      <c r="B549" s="12"/>
      <c r="C549" s="60"/>
    </row>
    <row r="550">
      <c r="A550" s="12"/>
      <c r="B550" s="12"/>
      <c r="C550" s="60"/>
    </row>
    <row r="551">
      <c r="A551" s="12"/>
      <c r="B551" s="12"/>
      <c r="C551" s="60"/>
    </row>
    <row r="552">
      <c r="A552" s="12"/>
      <c r="B552" s="12"/>
      <c r="C552" s="60"/>
    </row>
    <row r="553">
      <c r="A553" s="12"/>
      <c r="B553" s="12"/>
      <c r="C553" s="60"/>
    </row>
    <row r="554">
      <c r="A554" s="12"/>
      <c r="B554" s="12"/>
      <c r="C554" s="60"/>
    </row>
    <row r="555">
      <c r="A555" s="12"/>
      <c r="B555" s="12"/>
      <c r="C555" s="60"/>
    </row>
    <row r="556">
      <c r="A556" s="12"/>
      <c r="B556" s="12"/>
      <c r="C556" s="60"/>
    </row>
    <row r="557">
      <c r="A557" s="12"/>
      <c r="B557" s="12"/>
      <c r="C557" s="60"/>
    </row>
    <row r="558">
      <c r="A558" s="12"/>
      <c r="B558" s="12"/>
      <c r="C558" s="60"/>
    </row>
    <row r="559">
      <c r="A559" s="12"/>
      <c r="B559" s="12"/>
      <c r="C559" s="60"/>
    </row>
    <row r="560">
      <c r="A560" s="12"/>
      <c r="B560" s="12"/>
      <c r="C560" s="60"/>
    </row>
    <row r="561">
      <c r="A561" s="12"/>
      <c r="B561" s="12"/>
      <c r="C561" s="60"/>
    </row>
    <row r="562">
      <c r="A562" s="12"/>
      <c r="B562" s="12"/>
      <c r="C562" s="60"/>
    </row>
    <row r="563">
      <c r="A563" s="12"/>
      <c r="B563" s="12"/>
      <c r="C563" s="60"/>
    </row>
    <row r="564">
      <c r="A564" s="12"/>
      <c r="B564" s="12"/>
      <c r="C564" s="60"/>
    </row>
    <row r="565">
      <c r="A565" s="12"/>
      <c r="B565" s="12"/>
      <c r="C565" s="60"/>
    </row>
    <row r="566">
      <c r="A566" s="12"/>
      <c r="B566" s="12"/>
      <c r="C566" s="60"/>
    </row>
    <row r="567">
      <c r="A567" s="12"/>
      <c r="B567" s="12"/>
      <c r="C567" s="60"/>
    </row>
    <row r="568">
      <c r="A568" s="12"/>
      <c r="B568" s="12"/>
      <c r="C568" s="60"/>
    </row>
    <row r="569">
      <c r="A569" s="12"/>
      <c r="B569" s="12"/>
      <c r="C569" s="60"/>
    </row>
    <row r="570">
      <c r="A570" s="12"/>
      <c r="B570" s="12"/>
      <c r="C570" s="60"/>
    </row>
    <row r="571">
      <c r="A571" s="12"/>
      <c r="B571" s="12"/>
      <c r="C571" s="60"/>
    </row>
    <row r="572">
      <c r="A572" s="12"/>
      <c r="B572" s="12"/>
      <c r="C572" s="60"/>
    </row>
    <row r="573">
      <c r="A573" s="12"/>
      <c r="B573" s="12"/>
      <c r="C573" s="60"/>
    </row>
    <row r="574">
      <c r="A574" s="12"/>
      <c r="B574" s="12"/>
      <c r="C574" s="60"/>
    </row>
    <row r="575">
      <c r="A575" s="12"/>
      <c r="B575" s="12"/>
      <c r="C575" s="60"/>
    </row>
    <row r="576">
      <c r="A576" s="12"/>
      <c r="B576" s="12"/>
      <c r="C576" s="60"/>
    </row>
    <row r="577">
      <c r="A577" s="12"/>
      <c r="B577" s="12"/>
      <c r="C577" s="60"/>
    </row>
    <row r="578">
      <c r="A578" s="12"/>
      <c r="B578" s="12"/>
      <c r="C578" s="60"/>
    </row>
    <row r="579">
      <c r="A579" s="12"/>
      <c r="B579" s="12"/>
      <c r="C579" s="60"/>
    </row>
    <row r="580">
      <c r="A580" s="12"/>
      <c r="B580" s="12"/>
      <c r="C580" s="60"/>
    </row>
    <row r="581">
      <c r="A581" s="12"/>
      <c r="B581" s="12"/>
      <c r="C581" s="60"/>
    </row>
    <row r="582">
      <c r="A582" s="12"/>
      <c r="B582" s="12"/>
      <c r="C582" s="60"/>
    </row>
    <row r="583">
      <c r="A583" s="12"/>
      <c r="B583" s="12"/>
      <c r="C583" s="60"/>
    </row>
    <row r="584">
      <c r="A584" s="12"/>
      <c r="B584" s="12"/>
      <c r="C584" s="60"/>
    </row>
    <row r="585">
      <c r="A585" s="12"/>
      <c r="B585" s="12"/>
      <c r="C585" s="60"/>
    </row>
    <row r="586">
      <c r="A586" s="12"/>
      <c r="B586" s="12"/>
      <c r="C586" s="60"/>
    </row>
    <row r="587">
      <c r="A587" s="12"/>
      <c r="B587" s="12"/>
      <c r="C587" s="60"/>
    </row>
    <row r="588">
      <c r="A588" s="12"/>
      <c r="B588" s="12"/>
      <c r="C588" s="60"/>
    </row>
    <row r="589">
      <c r="A589" s="12"/>
      <c r="B589" s="12"/>
      <c r="C589" s="60"/>
    </row>
    <row r="590">
      <c r="A590" s="12"/>
      <c r="B590" s="12"/>
      <c r="C590" s="60"/>
    </row>
    <row r="591">
      <c r="A591" s="12"/>
      <c r="B591" s="12"/>
      <c r="C591" s="60"/>
    </row>
    <row r="592">
      <c r="A592" s="12"/>
      <c r="B592" s="12"/>
      <c r="C592" s="60"/>
    </row>
    <row r="593">
      <c r="A593" s="12"/>
      <c r="B593" s="12"/>
      <c r="C593" s="60"/>
    </row>
    <row r="594">
      <c r="A594" s="12"/>
      <c r="B594" s="12"/>
      <c r="C594" s="60"/>
    </row>
    <row r="595">
      <c r="A595" s="12"/>
      <c r="B595" s="12"/>
      <c r="C595" s="60"/>
    </row>
    <row r="596">
      <c r="A596" s="12"/>
      <c r="B596" s="12"/>
      <c r="C596" s="60"/>
    </row>
    <row r="597">
      <c r="A597" s="12"/>
      <c r="B597" s="12"/>
      <c r="C597" s="60"/>
    </row>
    <row r="598">
      <c r="A598" s="12"/>
      <c r="B598" s="12"/>
      <c r="C598" s="60"/>
    </row>
    <row r="599">
      <c r="A599" s="12"/>
      <c r="B599" s="12"/>
      <c r="C599" s="60"/>
    </row>
    <row r="600">
      <c r="A600" s="12"/>
      <c r="B600" s="12"/>
      <c r="C600" s="60"/>
    </row>
    <row r="601">
      <c r="A601" s="12"/>
      <c r="B601" s="12"/>
      <c r="C601" s="60"/>
    </row>
    <row r="602">
      <c r="A602" s="12"/>
      <c r="B602" s="12"/>
      <c r="C602" s="60"/>
    </row>
    <row r="603">
      <c r="A603" s="12"/>
      <c r="B603" s="12"/>
      <c r="C603" s="60"/>
    </row>
    <row r="604">
      <c r="A604" s="12"/>
      <c r="B604" s="12"/>
      <c r="C604" s="60"/>
    </row>
    <row r="605">
      <c r="A605" s="12"/>
      <c r="B605" s="12"/>
      <c r="C605" s="60"/>
    </row>
    <row r="606">
      <c r="A606" s="12"/>
      <c r="B606" s="12"/>
      <c r="C606" s="60"/>
    </row>
    <row r="607">
      <c r="A607" s="12"/>
      <c r="B607" s="12"/>
      <c r="C607" s="60"/>
    </row>
    <row r="608">
      <c r="A608" s="12"/>
      <c r="B608" s="12"/>
      <c r="C608" s="60"/>
    </row>
    <row r="609">
      <c r="A609" s="12"/>
      <c r="B609" s="12"/>
      <c r="C609" s="60"/>
    </row>
    <row r="610">
      <c r="A610" s="12"/>
      <c r="B610" s="12"/>
      <c r="C610" s="60"/>
    </row>
    <row r="611">
      <c r="A611" s="12"/>
      <c r="B611" s="12"/>
      <c r="C611" s="60"/>
    </row>
    <row r="612">
      <c r="A612" s="12"/>
      <c r="B612" s="12"/>
      <c r="C612" s="60"/>
    </row>
    <row r="613">
      <c r="A613" s="12"/>
      <c r="B613" s="12"/>
      <c r="C613" s="60"/>
    </row>
    <row r="614">
      <c r="A614" s="12"/>
      <c r="B614" s="12"/>
      <c r="C614" s="60"/>
    </row>
    <row r="615">
      <c r="A615" s="12"/>
      <c r="B615" s="12"/>
      <c r="C615" s="60"/>
    </row>
    <row r="616">
      <c r="A616" s="12"/>
      <c r="B616" s="12"/>
      <c r="C616" s="60"/>
    </row>
    <row r="617">
      <c r="A617" s="12"/>
      <c r="B617" s="12"/>
      <c r="C617" s="60"/>
    </row>
    <row r="618">
      <c r="A618" s="12"/>
      <c r="B618" s="12"/>
      <c r="C618" s="60"/>
    </row>
    <row r="619">
      <c r="A619" s="12"/>
      <c r="B619" s="12"/>
      <c r="C619" s="60"/>
    </row>
    <row r="620">
      <c r="A620" s="12"/>
      <c r="B620" s="12"/>
      <c r="C620" s="60"/>
    </row>
    <row r="621">
      <c r="A621" s="12"/>
      <c r="B621" s="12"/>
      <c r="C621" s="60"/>
    </row>
    <row r="622">
      <c r="A622" s="12"/>
      <c r="B622" s="12"/>
      <c r="C622" s="60"/>
    </row>
    <row r="623">
      <c r="A623" s="12"/>
      <c r="B623" s="12"/>
      <c r="C623" s="60"/>
    </row>
    <row r="624">
      <c r="A624" s="12"/>
      <c r="B624" s="12"/>
      <c r="C624" s="60"/>
    </row>
    <row r="625">
      <c r="A625" s="12"/>
      <c r="B625" s="12"/>
      <c r="C625" s="60"/>
    </row>
    <row r="626">
      <c r="A626" s="12"/>
      <c r="B626" s="12"/>
      <c r="C626" s="60"/>
    </row>
    <row r="627">
      <c r="A627" s="12"/>
      <c r="B627" s="12"/>
      <c r="C627" s="60"/>
    </row>
    <row r="628">
      <c r="A628" s="12"/>
      <c r="B628" s="12"/>
      <c r="C628" s="60"/>
    </row>
    <row r="629">
      <c r="A629" s="12"/>
      <c r="B629" s="12"/>
      <c r="C629" s="60"/>
    </row>
    <row r="630">
      <c r="A630" s="12"/>
      <c r="B630" s="12"/>
      <c r="C630" s="60"/>
    </row>
    <row r="631">
      <c r="A631" s="12"/>
      <c r="B631" s="12"/>
      <c r="C631" s="60"/>
    </row>
    <row r="632">
      <c r="A632" s="12"/>
      <c r="B632" s="12"/>
      <c r="C632" s="60"/>
    </row>
    <row r="633">
      <c r="A633" s="12"/>
      <c r="B633" s="12"/>
      <c r="C633" s="60"/>
    </row>
    <row r="634">
      <c r="A634" s="12"/>
      <c r="B634" s="12"/>
      <c r="C634" s="60"/>
    </row>
    <row r="635">
      <c r="A635" s="12"/>
      <c r="B635" s="12"/>
      <c r="C635" s="60"/>
    </row>
    <row r="636">
      <c r="A636" s="12"/>
      <c r="B636" s="12"/>
      <c r="C636" s="60"/>
    </row>
    <row r="637">
      <c r="A637" s="12"/>
      <c r="B637" s="12"/>
      <c r="C637" s="60"/>
    </row>
    <row r="638">
      <c r="A638" s="12"/>
      <c r="B638" s="12"/>
      <c r="C638" s="60"/>
    </row>
    <row r="639">
      <c r="A639" s="12"/>
      <c r="B639" s="12"/>
      <c r="C639" s="60"/>
    </row>
    <row r="640">
      <c r="A640" s="12"/>
      <c r="B640" s="12"/>
      <c r="C640" s="60"/>
    </row>
    <row r="641">
      <c r="A641" s="12"/>
      <c r="B641" s="12"/>
      <c r="C641" s="60"/>
    </row>
    <row r="642">
      <c r="A642" s="12"/>
      <c r="B642" s="12"/>
      <c r="C642" s="60"/>
    </row>
    <row r="643">
      <c r="A643" s="12"/>
      <c r="B643" s="12"/>
      <c r="C643" s="60"/>
    </row>
    <row r="644">
      <c r="A644" s="12"/>
      <c r="B644" s="12"/>
      <c r="C644" s="60"/>
    </row>
    <row r="645">
      <c r="A645" s="12"/>
      <c r="B645" s="12"/>
      <c r="C645" s="60"/>
    </row>
    <row r="646">
      <c r="A646" s="12"/>
      <c r="B646" s="12"/>
      <c r="C646" s="60"/>
    </row>
    <row r="647">
      <c r="A647" s="12"/>
      <c r="B647" s="12"/>
      <c r="C647" s="60"/>
    </row>
    <row r="648">
      <c r="A648" s="12"/>
      <c r="B648" s="12"/>
      <c r="C648" s="60"/>
    </row>
    <row r="649">
      <c r="A649" s="12"/>
      <c r="B649" s="12"/>
      <c r="C649" s="60"/>
    </row>
    <row r="650">
      <c r="A650" s="12"/>
      <c r="B650" s="12"/>
      <c r="C650" s="60"/>
    </row>
    <row r="651">
      <c r="A651" s="12"/>
      <c r="B651" s="12"/>
      <c r="C651" s="60"/>
    </row>
    <row r="652">
      <c r="A652" s="12"/>
      <c r="B652" s="12"/>
      <c r="C652" s="60"/>
    </row>
    <row r="653">
      <c r="A653" s="12"/>
      <c r="B653" s="12"/>
      <c r="C653" s="60"/>
    </row>
    <row r="654">
      <c r="A654" s="12"/>
      <c r="B654" s="12"/>
      <c r="C654" s="60"/>
    </row>
    <row r="655">
      <c r="A655" s="12"/>
      <c r="B655" s="12"/>
      <c r="C655" s="60"/>
    </row>
    <row r="656">
      <c r="A656" s="12"/>
      <c r="B656" s="12"/>
      <c r="C656" s="60"/>
    </row>
    <row r="657">
      <c r="A657" s="12"/>
      <c r="B657" s="12"/>
      <c r="C657" s="60"/>
    </row>
    <row r="658">
      <c r="A658" s="12"/>
      <c r="B658" s="12"/>
      <c r="C658" s="60"/>
    </row>
    <row r="659">
      <c r="A659" s="12"/>
      <c r="B659" s="12"/>
      <c r="C659" s="60"/>
    </row>
    <row r="660">
      <c r="A660" s="12"/>
      <c r="B660" s="12"/>
      <c r="C660" s="60"/>
    </row>
    <row r="661">
      <c r="A661" s="12"/>
      <c r="B661" s="12"/>
      <c r="C661" s="60"/>
    </row>
    <row r="662">
      <c r="A662" s="12"/>
      <c r="B662" s="12"/>
      <c r="C662" s="60"/>
    </row>
    <row r="663">
      <c r="A663" s="12"/>
      <c r="B663" s="12"/>
      <c r="C663" s="60"/>
    </row>
    <row r="664">
      <c r="A664" s="12"/>
      <c r="B664" s="12"/>
      <c r="C664" s="60"/>
    </row>
    <row r="665">
      <c r="A665" s="12"/>
      <c r="B665" s="12"/>
      <c r="C665" s="60"/>
    </row>
    <row r="666">
      <c r="A666" s="12"/>
      <c r="B666" s="12"/>
      <c r="C666" s="60"/>
    </row>
    <row r="667">
      <c r="A667" s="12"/>
      <c r="B667" s="12"/>
      <c r="C667" s="60"/>
    </row>
    <row r="668">
      <c r="A668" s="12"/>
      <c r="B668" s="12"/>
      <c r="C668" s="60"/>
    </row>
    <row r="669">
      <c r="A669" s="12"/>
      <c r="B669" s="12"/>
      <c r="C669" s="60"/>
    </row>
    <row r="670">
      <c r="A670" s="12"/>
      <c r="B670" s="12"/>
      <c r="C670" s="60"/>
    </row>
    <row r="671">
      <c r="A671" s="12"/>
      <c r="B671" s="12"/>
      <c r="C671" s="60"/>
    </row>
    <row r="672">
      <c r="A672" s="12"/>
      <c r="B672" s="12"/>
      <c r="C672" s="60"/>
    </row>
    <row r="673">
      <c r="A673" s="12"/>
      <c r="B673" s="12"/>
      <c r="C673" s="60"/>
    </row>
    <row r="674">
      <c r="A674" s="12"/>
      <c r="B674" s="12"/>
      <c r="C674" s="60"/>
    </row>
    <row r="675">
      <c r="A675" s="12"/>
      <c r="B675" s="12"/>
      <c r="C675" s="60"/>
    </row>
    <row r="676">
      <c r="A676" s="12"/>
      <c r="B676" s="12"/>
      <c r="C676" s="60"/>
    </row>
    <row r="677">
      <c r="A677" s="12"/>
      <c r="B677" s="12"/>
      <c r="C677" s="60"/>
    </row>
    <row r="678">
      <c r="A678" s="12"/>
      <c r="B678" s="12"/>
      <c r="C678" s="60"/>
    </row>
    <row r="679">
      <c r="A679" s="12"/>
      <c r="B679" s="12"/>
      <c r="C679" s="60"/>
    </row>
    <row r="680">
      <c r="A680" s="12"/>
      <c r="B680" s="12"/>
      <c r="C680" s="60"/>
    </row>
    <row r="681">
      <c r="A681" s="12"/>
      <c r="B681" s="12"/>
      <c r="C681" s="60"/>
    </row>
    <row r="682">
      <c r="A682" s="12"/>
      <c r="B682" s="12"/>
      <c r="C682" s="60"/>
    </row>
    <row r="683">
      <c r="A683" s="12"/>
      <c r="B683" s="12"/>
      <c r="C683" s="60"/>
    </row>
    <row r="684">
      <c r="A684" s="12"/>
      <c r="B684" s="12"/>
      <c r="C684" s="60"/>
    </row>
    <row r="685">
      <c r="A685" s="12"/>
      <c r="B685" s="12"/>
      <c r="C685" s="60"/>
    </row>
    <row r="686">
      <c r="A686" s="12"/>
      <c r="B686" s="12"/>
      <c r="C686" s="60"/>
    </row>
    <row r="687">
      <c r="A687" s="12"/>
      <c r="B687" s="12"/>
      <c r="C687" s="60"/>
    </row>
    <row r="688">
      <c r="A688" s="12"/>
      <c r="B688" s="12"/>
      <c r="C688" s="60"/>
    </row>
    <row r="689">
      <c r="A689" s="12"/>
      <c r="B689" s="12"/>
      <c r="C689" s="60"/>
    </row>
    <row r="690">
      <c r="A690" s="12"/>
      <c r="B690" s="12"/>
      <c r="C690" s="60"/>
    </row>
    <row r="691">
      <c r="A691" s="12"/>
      <c r="B691" s="12"/>
      <c r="C691" s="60"/>
    </row>
    <row r="692">
      <c r="A692" s="12"/>
      <c r="B692" s="12"/>
      <c r="C692" s="60"/>
    </row>
    <row r="693">
      <c r="A693" s="12"/>
      <c r="B693" s="12"/>
      <c r="C693" s="60"/>
    </row>
    <row r="694">
      <c r="A694" s="12"/>
      <c r="B694" s="12"/>
      <c r="C694" s="60"/>
    </row>
    <row r="695">
      <c r="A695" s="12"/>
      <c r="B695" s="12"/>
      <c r="C695" s="60"/>
    </row>
    <row r="696">
      <c r="A696" s="12"/>
      <c r="B696" s="12"/>
      <c r="C696" s="60"/>
    </row>
    <row r="697">
      <c r="A697" s="12"/>
      <c r="B697" s="12"/>
      <c r="C697" s="60"/>
    </row>
    <row r="698">
      <c r="A698" s="12"/>
      <c r="B698" s="12"/>
      <c r="C698" s="60"/>
    </row>
    <row r="699">
      <c r="A699" s="12"/>
      <c r="B699" s="12"/>
      <c r="C699" s="60"/>
    </row>
    <row r="700">
      <c r="A700" s="12"/>
      <c r="B700" s="12"/>
      <c r="C700" s="60"/>
    </row>
    <row r="701">
      <c r="A701" s="12"/>
      <c r="B701" s="12"/>
      <c r="C701" s="60"/>
    </row>
    <row r="702">
      <c r="A702" s="12"/>
      <c r="B702" s="12"/>
      <c r="C702" s="60"/>
    </row>
    <row r="703">
      <c r="A703" s="12"/>
      <c r="B703" s="12"/>
      <c r="C703" s="60"/>
    </row>
    <row r="704">
      <c r="A704" s="12"/>
      <c r="B704" s="12"/>
      <c r="C704" s="60"/>
    </row>
    <row r="705">
      <c r="A705" s="12"/>
      <c r="B705" s="12"/>
      <c r="C705" s="60"/>
    </row>
    <row r="706">
      <c r="A706" s="12"/>
      <c r="B706" s="12"/>
      <c r="C706" s="60"/>
    </row>
    <row r="707">
      <c r="A707" s="12"/>
      <c r="B707" s="12"/>
      <c r="C707" s="60"/>
    </row>
    <row r="708">
      <c r="A708" s="12"/>
      <c r="B708" s="12"/>
      <c r="C708" s="60"/>
    </row>
    <row r="709">
      <c r="A709" s="12"/>
      <c r="B709" s="12"/>
      <c r="C709" s="60"/>
    </row>
    <row r="710">
      <c r="A710" s="12"/>
      <c r="B710" s="12"/>
      <c r="C710" s="60"/>
    </row>
    <row r="711">
      <c r="A711" s="12"/>
      <c r="B711" s="12"/>
      <c r="C711" s="60"/>
    </row>
    <row r="712">
      <c r="A712" s="12"/>
      <c r="B712" s="12"/>
      <c r="C712" s="60"/>
    </row>
    <row r="713">
      <c r="A713" s="12"/>
      <c r="B713" s="12"/>
      <c r="C713" s="60"/>
    </row>
    <row r="714">
      <c r="A714" s="12"/>
      <c r="B714" s="12"/>
      <c r="C714" s="60"/>
    </row>
    <row r="715">
      <c r="A715" s="12"/>
      <c r="B715" s="12"/>
      <c r="C715" s="60"/>
    </row>
    <row r="716">
      <c r="A716" s="12"/>
      <c r="B716" s="12"/>
      <c r="C716" s="60"/>
    </row>
    <row r="717">
      <c r="A717" s="12"/>
      <c r="B717" s="12"/>
      <c r="C717" s="60"/>
    </row>
    <row r="718">
      <c r="A718" s="12"/>
      <c r="B718" s="12"/>
      <c r="C718" s="60"/>
    </row>
    <row r="719">
      <c r="A719" s="12"/>
      <c r="B719" s="12"/>
      <c r="C719" s="60"/>
    </row>
    <row r="720">
      <c r="A720" s="12"/>
      <c r="B720" s="12"/>
      <c r="C720" s="60"/>
    </row>
    <row r="721">
      <c r="A721" s="12"/>
      <c r="B721" s="12"/>
      <c r="C721" s="60"/>
    </row>
    <row r="722">
      <c r="A722" s="12"/>
      <c r="B722" s="12"/>
      <c r="C722" s="60"/>
    </row>
    <row r="723">
      <c r="A723" s="12"/>
      <c r="B723" s="12"/>
      <c r="C723" s="60"/>
    </row>
    <row r="724">
      <c r="A724" s="12"/>
      <c r="B724" s="12"/>
      <c r="C724" s="60"/>
    </row>
    <row r="725">
      <c r="A725" s="12"/>
      <c r="B725" s="12"/>
      <c r="C725" s="60"/>
    </row>
    <row r="726">
      <c r="A726" s="12"/>
      <c r="B726" s="12"/>
      <c r="C726" s="60"/>
    </row>
    <row r="727">
      <c r="A727" s="12"/>
      <c r="B727" s="12"/>
      <c r="C727" s="60"/>
    </row>
    <row r="728">
      <c r="A728" s="12"/>
      <c r="B728" s="12"/>
      <c r="C728" s="60"/>
    </row>
    <row r="729">
      <c r="A729" s="12"/>
      <c r="B729" s="12"/>
      <c r="C729" s="60"/>
    </row>
    <row r="730">
      <c r="A730" s="12"/>
      <c r="B730" s="12"/>
      <c r="C730" s="60"/>
    </row>
    <row r="731">
      <c r="A731" s="12"/>
      <c r="B731" s="12"/>
      <c r="C731" s="60"/>
    </row>
    <row r="732">
      <c r="A732" s="12"/>
      <c r="B732" s="12"/>
      <c r="C732" s="60"/>
    </row>
    <row r="733">
      <c r="A733" s="12"/>
      <c r="B733" s="12"/>
      <c r="C733" s="60"/>
    </row>
    <row r="734">
      <c r="A734" s="12"/>
      <c r="B734" s="12"/>
      <c r="C734" s="60"/>
    </row>
    <row r="735">
      <c r="A735" s="12"/>
      <c r="B735" s="12"/>
      <c r="C735" s="60"/>
    </row>
    <row r="736">
      <c r="A736" s="12"/>
      <c r="B736" s="12"/>
      <c r="C736" s="60"/>
    </row>
    <row r="737">
      <c r="A737" s="12"/>
      <c r="B737" s="12"/>
      <c r="C737" s="60"/>
    </row>
    <row r="738">
      <c r="A738" s="12"/>
      <c r="B738" s="12"/>
      <c r="C738" s="60"/>
    </row>
    <row r="739">
      <c r="A739" s="12"/>
      <c r="B739" s="12"/>
      <c r="C739" s="60"/>
    </row>
    <row r="740">
      <c r="A740" s="12"/>
      <c r="B740" s="12"/>
      <c r="C740" s="60"/>
    </row>
    <row r="741">
      <c r="A741" s="12"/>
      <c r="B741" s="12"/>
      <c r="C741" s="60"/>
    </row>
    <row r="742">
      <c r="A742" s="12"/>
      <c r="B742" s="12"/>
      <c r="C742" s="60"/>
    </row>
    <row r="743">
      <c r="A743" s="12"/>
      <c r="B743" s="12"/>
      <c r="C743" s="60"/>
    </row>
    <row r="744">
      <c r="A744" s="12"/>
      <c r="B744" s="12"/>
      <c r="C744" s="60"/>
    </row>
    <row r="745">
      <c r="A745" s="12"/>
      <c r="B745" s="12"/>
      <c r="C745" s="60"/>
    </row>
    <row r="746">
      <c r="A746" s="12"/>
      <c r="B746" s="12"/>
      <c r="C746" s="60"/>
    </row>
    <row r="747">
      <c r="A747" s="12"/>
      <c r="B747" s="12"/>
      <c r="C747" s="60"/>
    </row>
    <row r="748">
      <c r="A748" s="12"/>
      <c r="B748" s="12"/>
      <c r="C748" s="60"/>
    </row>
    <row r="749">
      <c r="A749" s="12"/>
      <c r="B749" s="12"/>
      <c r="C749" s="60"/>
    </row>
    <row r="750">
      <c r="A750" s="12"/>
      <c r="B750" s="12"/>
      <c r="C750" s="60"/>
    </row>
    <row r="751">
      <c r="A751" s="12"/>
      <c r="B751" s="12"/>
      <c r="C751" s="60"/>
    </row>
    <row r="752">
      <c r="A752" s="12"/>
      <c r="B752" s="12"/>
      <c r="C752" s="60"/>
    </row>
    <row r="753">
      <c r="A753" s="12"/>
      <c r="B753" s="12"/>
      <c r="C753" s="60"/>
    </row>
    <row r="754">
      <c r="A754" s="12"/>
      <c r="B754" s="12"/>
      <c r="C754" s="60"/>
    </row>
    <row r="755">
      <c r="A755" s="12"/>
      <c r="B755" s="12"/>
      <c r="C755" s="60"/>
    </row>
    <row r="756">
      <c r="A756" s="12"/>
      <c r="B756" s="12"/>
      <c r="C756" s="60"/>
    </row>
    <row r="757">
      <c r="A757" s="12"/>
      <c r="B757" s="12"/>
      <c r="C757" s="60"/>
    </row>
    <row r="758">
      <c r="A758" s="12"/>
      <c r="B758" s="12"/>
      <c r="C758" s="60"/>
    </row>
    <row r="759">
      <c r="A759" s="12"/>
      <c r="B759" s="12"/>
      <c r="C759" s="60"/>
    </row>
    <row r="760">
      <c r="A760" s="12"/>
      <c r="B760" s="12"/>
      <c r="C760" s="60"/>
    </row>
    <row r="761">
      <c r="A761" s="12"/>
      <c r="B761" s="12"/>
      <c r="C761" s="60"/>
    </row>
    <row r="762">
      <c r="A762" s="12"/>
      <c r="B762" s="12"/>
      <c r="C762" s="60"/>
    </row>
    <row r="763">
      <c r="A763" s="12"/>
      <c r="B763" s="12"/>
      <c r="C763" s="60"/>
    </row>
    <row r="764">
      <c r="A764" s="12"/>
      <c r="B764" s="12"/>
      <c r="C764" s="60"/>
    </row>
    <row r="765">
      <c r="A765" s="12"/>
      <c r="B765" s="12"/>
      <c r="C765" s="60"/>
    </row>
    <row r="766">
      <c r="A766" s="12"/>
      <c r="B766" s="12"/>
      <c r="C766" s="60"/>
    </row>
    <row r="767">
      <c r="A767" s="12"/>
      <c r="B767" s="12"/>
      <c r="C767" s="60"/>
    </row>
    <row r="768">
      <c r="A768" s="12"/>
      <c r="B768" s="12"/>
      <c r="C768" s="60"/>
    </row>
    <row r="769">
      <c r="A769" s="12"/>
      <c r="B769" s="12"/>
      <c r="C769" s="60"/>
    </row>
    <row r="770">
      <c r="A770" s="12"/>
      <c r="B770" s="12"/>
      <c r="C770" s="60"/>
    </row>
    <row r="771">
      <c r="A771" s="12"/>
      <c r="B771" s="12"/>
      <c r="C771" s="60"/>
    </row>
    <row r="772">
      <c r="A772" s="12"/>
      <c r="B772" s="12"/>
      <c r="C772" s="60"/>
    </row>
    <row r="773">
      <c r="A773" s="12"/>
      <c r="B773" s="12"/>
      <c r="C773" s="60"/>
    </row>
    <row r="774">
      <c r="A774" s="12"/>
      <c r="B774" s="12"/>
      <c r="C774" s="60"/>
    </row>
    <row r="775">
      <c r="A775" s="12"/>
      <c r="B775" s="12"/>
      <c r="C775" s="60"/>
    </row>
    <row r="776">
      <c r="A776" s="12"/>
      <c r="B776" s="12"/>
      <c r="C776" s="60"/>
    </row>
    <row r="777">
      <c r="A777" s="12"/>
      <c r="B777" s="12"/>
      <c r="C777" s="60"/>
    </row>
    <row r="778">
      <c r="A778" s="12"/>
      <c r="B778" s="12"/>
      <c r="C778" s="60"/>
    </row>
    <row r="779">
      <c r="A779" s="12"/>
      <c r="B779" s="12"/>
      <c r="C779" s="60"/>
    </row>
    <row r="780">
      <c r="A780" s="12"/>
      <c r="B780" s="12"/>
      <c r="C780" s="60"/>
    </row>
    <row r="781">
      <c r="A781" s="12"/>
      <c r="B781" s="12"/>
      <c r="C781" s="60"/>
    </row>
    <row r="782">
      <c r="A782" s="12"/>
      <c r="B782" s="12"/>
      <c r="C782" s="60"/>
    </row>
    <row r="783">
      <c r="A783" s="12"/>
      <c r="B783" s="12"/>
      <c r="C783" s="60"/>
    </row>
    <row r="784">
      <c r="A784" s="12"/>
      <c r="B784" s="12"/>
      <c r="C784" s="60"/>
    </row>
    <row r="785">
      <c r="A785" s="12"/>
      <c r="B785" s="12"/>
      <c r="C785" s="60"/>
    </row>
    <row r="786">
      <c r="A786" s="12"/>
      <c r="B786" s="12"/>
      <c r="C786" s="60"/>
    </row>
    <row r="787">
      <c r="A787" s="12"/>
      <c r="B787" s="12"/>
      <c r="C787" s="60"/>
    </row>
    <row r="788">
      <c r="A788" s="12"/>
      <c r="B788" s="12"/>
      <c r="C788" s="60"/>
    </row>
    <row r="789">
      <c r="A789" s="12"/>
      <c r="B789" s="12"/>
      <c r="C789" s="60"/>
    </row>
    <row r="790">
      <c r="A790" s="12"/>
      <c r="B790" s="12"/>
      <c r="C790" s="60"/>
    </row>
    <row r="791">
      <c r="A791" s="12"/>
      <c r="B791" s="12"/>
      <c r="C791" s="60"/>
    </row>
    <row r="792">
      <c r="A792" s="12"/>
      <c r="B792" s="12"/>
      <c r="C792" s="60"/>
    </row>
    <row r="793">
      <c r="A793" s="12"/>
      <c r="B793" s="12"/>
      <c r="C793" s="60"/>
    </row>
    <row r="794">
      <c r="A794" s="12"/>
      <c r="B794" s="12"/>
      <c r="C794" s="60"/>
    </row>
    <row r="795">
      <c r="A795" s="12"/>
      <c r="B795" s="12"/>
      <c r="C795" s="60"/>
    </row>
    <row r="796">
      <c r="A796" s="12"/>
      <c r="B796" s="12"/>
      <c r="C796" s="60"/>
    </row>
    <row r="797">
      <c r="A797" s="12"/>
      <c r="B797" s="12"/>
      <c r="C797" s="60"/>
    </row>
    <row r="798">
      <c r="A798" s="12"/>
      <c r="B798" s="12"/>
      <c r="C798" s="60"/>
    </row>
    <row r="799">
      <c r="A799" s="12"/>
      <c r="B799" s="12"/>
      <c r="C799" s="60"/>
    </row>
    <row r="800">
      <c r="A800" s="12"/>
      <c r="B800" s="12"/>
      <c r="C800" s="60"/>
    </row>
    <row r="801">
      <c r="A801" s="12"/>
      <c r="B801" s="12"/>
      <c r="C801" s="60"/>
    </row>
    <row r="802">
      <c r="A802" s="12"/>
      <c r="B802" s="12"/>
      <c r="C802" s="60"/>
    </row>
    <row r="803">
      <c r="A803" s="12"/>
      <c r="B803" s="12"/>
      <c r="C803" s="60"/>
    </row>
    <row r="804">
      <c r="A804" s="12"/>
      <c r="B804" s="12"/>
      <c r="C804" s="60"/>
    </row>
    <row r="805">
      <c r="A805" s="12"/>
      <c r="B805" s="12"/>
      <c r="C805" s="60"/>
    </row>
    <row r="806">
      <c r="A806" s="12"/>
      <c r="B806" s="12"/>
      <c r="C806" s="60"/>
    </row>
    <row r="807">
      <c r="A807" s="12"/>
      <c r="B807" s="12"/>
      <c r="C807" s="60"/>
    </row>
    <row r="808">
      <c r="A808" s="12"/>
      <c r="B808" s="12"/>
      <c r="C808" s="60"/>
    </row>
    <row r="809">
      <c r="A809" s="12"/>
      <c r="B809" s="12"/>
      <c r="C809" s="60"/>
    </row>
    <row r="810">
      <c r="A810" s="12"/>
      <c r="B810" s="12"/>
      <c r="C810" s="60"/>
    </row>
    <row r="811">
      <c r="A811" s="12"/>
      <c r="B811" s="12"/>
      <c r="C811" s="60"/>
    </row>
    <row r="812">
      <c r="A812" s="12"/>
      <c r="B812" s="12"/>
      <c r="C812" s="60"/>
    </row>
    <row r="813">
      <c r="A813" s="12"/>
      <c r="B813" s="12"/>
      <c r="C813" s="60"/>
    </row>
    <row r="814">
      <c r="A814" s="12"/>
      <c r="B814" s="12"/>
      <c r="C814" s="60"/>
    </row>
    <row r="815">
      <c r="A815" s="12"/>
      <c r="B815" s="12"/>
      <c r="C815" s="60"/>
    </row>
    <row r="816">
      <c r="A816" s="12"/>
      <c r="B816" s="12"/>
      <c r="C816" s="60"/>
    </row>
    <row r="817">
      <c r="A817" s="12"/>
      <c r="B817" s="12"/>
      <c r="C817" s="60"/>
    </row>
    <row r="818">
      <c r="A818" s="12"/>
      <c r="B818" s="12"/>
      <c r="C818" s="60"/>
    </row>
    <row r="819">
      <c r="A819" s="12"/>
      <c r="B819" s="12"/>
      <c r="C819" s="60"/>
    </row>
    <row r="820">
      <c r="A820" s="12"/>
      <c r="B820" s="12"/>
      <c r="C820" s="60"/>
    </row>
    <row r="821">
      <c r="A821" s="12"/>
      <c r="B821" s="12"/>
      <c r="C821" s="60"/>
    </row>
    <row r="822">
      <c r="A822" s="12"/>
      <c r="B822" s="12"/>
      <c r="C822" s="60"/>
    </row>
    <row r="823">
      <c r="A823" s="12"/>
      <c r="B823" s="12"/>
      <c r="C823" s="60"/>
    </row>
    <row r="824">
      <c r="A824" s="12"/>
      <c r="B824" s="12"/>
      <c r="C824" s="60"/>
    </row>
    <row r="825">
      <c r="A825" s="12"/>
      <c r="B825" s="12"/>
      <c r="C825" s="60"/>
    </row>
    <row r="826">
      <c r="A826" s="12"/>
      <c r="B826" s="12"/>
      <c r="C826" s="60"/>
    </row>
    <row r="827">
      <c r="A827" s="12"/>
      <c r="B827" s="12"/>
      <c r="C827" s="60"/>
    </row>
    <row r="828">
      <c r="A828" s="12"/>
      <c r="B828" s="12"/>
      <c r="C828" s="60"/>
    </row>
    <row r="829">
      <c r="A829" s="12"/>
      <c r="B829" s="12"/>
      <c r="C829" s="60"/>
    </row>
    <row r="830">
      <c r="A830" s="12"/>
      <c r="B830" s="12"/>
      <c r="C830" s="60"/>
    </row>
    <row r="831">
      <c r="A831" s="12"/>
      <c r="B831" s="12"/>
      <c r="C831" s="60"/>
    </row>
    <row r="832">
      <c r="A832" s="12"/>
      <c r="B832" s="12"/>
      <c r="C832" s="60"/>
    </row>
    <row r="833">
      <c r="A833" s="12"/>
      <c r="B833" s="12"/>
      <c r="C833" s="60"/>
    </row>
    <row r="834">
      <c r="A834" s="12"/>
      <c r="B834" s="12"/>
      <c r="C834" s="60"/>
    </row>
    <row r="835">
      <c r="A835" s="12"/>
      <c r="B835" s="12"/>
      <c r="C835" s="60"/>
    </row>
    <row r="836">
      <c r="A836" s="12"/>
      <c r="B836" s="12"/>
      <c r="C836" s="60"/>
    </row>
    <row r="837">
      <c r="A837" s="12"/>
      <c r="B837" s="12"/>
      <c r="C837" s="60"/>
    </row>
    <row r="838">
      <c r="A838" s="12"/>
      <c r="B838" s="12"/>
      <c r="C838" s="60"/>
    </row>
    <row r="839">
      <c r="A839" s="12"/>
      <c r="B839" s="12"/>
      <c r="C839" s="60"/>
    </row>
    <row r="840">
      <c r="A840" s="12"/>
      <c r="B840" s="12"/>
      <c r="C840" s="60"/>
    </row>
    <row r="841">
      <c r="A841" s="12"/>
      <c r="B841" s="12"/>
      <c r="C841" s="60"/>
    </row>
    <row r="842">
      <c r="A842" s="12"/>
      <c r="B842" s="12"/>
      <c r="C842" s="60"/>
    </row>
    <row r="843">
      <c r="A843" s="12"/>
      <c r="B843" s="12"/>
      <c r="C843" s="60"/>
    </row>
    <row r="844">
      <c r="A844" s="12"/>
      <c r="B844" s="12"/>
      <c r="C844" s="60"/>
    </row>
    <row r="845">
      <c r="A845" s="12"/>
      <c r="B845" s="12"/>
      <c r="C845" s="60"/>
    </row>
    <row r="846">
      <c r="A846" s="12"/>
      <c r="B846" s="12"/>
      <c r="C846" s="60"/>
    </row>
    <row r="847">
      <c r="A847" s="12"/>
      <c r="B847" s="12"/>
      <c r="C847" s="60"/>
    </row>
    <row r="848">
      <c r="A848" s="12"/>
      <c r="B848" s="12"/>
      <c r="C848" s="60"/>
    </row>
    <row r="849">
      <c r="A849" s="12"/>
      <c r="B849" s="12"/>
      <c r="C849" s="60"/>
    </row>
    <row r="850">
      <c r="A850" s="12"/>
      <c r="B850" s="12"/>
      <c r="C850" s="60"/>
    </row>
    <row r="851">
      <c r="A851" s="12"/>
      <c r="B851" s="12"/>
      <c r="C851" s="60"/>
    </row>
    <row r="852">
      <c r="A852" s="12"/>
      <c r="B852" s="12"/>
      <c r="C852" s="60"/>
    </row>
    <row r="853">
      <c r="A853" s="12"/>
      <c r="B853" s="12"/>
      <c r="C853" s="60"/>
    </row>
    <row r="854">
      <c r="A854" s="12"/>
      <c r="B854" s="12"/>
      <c r="C854" s="60"/>
    </row>
    <row r="855">
      <c r="A855" s="12"/>
      <c r="B855" s="12"/>
      <c r="C855" s="60"/>
    </row>
    <row r="856">
      <c r="A856" s="12"/>
      <c r="B856" s="12"/>
      <c r="C856" s="60"/>
    </row>
    <row r="857">
      <c r="A857" s="12"/>
      <c r="B857" s="12"/>
      <c r="C857" s="60"/>
    </row>
    <row r="858">
      <c r="A858" s="12"/>
      <c r="B858" s="12"/>
      <c r="C858" s="60"/>
    </row>
    <row r="859">
      <c r="A859" s="12"/>
      <c r="B859" s="12"/>
      <c r="C859" s="60"/>
    </row>
    <row r="860">
      <c r="A860" s="12"/>
      <c r="B860" s="12"/>
      <c r="C860" s="60"/>
    </row>
    <row r="861">
      <c r="A861" s="12"/>
      <c r="B861" s="12"/>
      <c r="C861" s="60"/>
    </row>
    <row r="862">
      <c r="A862" s="12"/>
      <c r="B862" s="12"/>
      <c r="C862" s="60"/>
    </row>
    <row r="863">
      <c r="A863" s="12"/>
      <c r="B863" s="12"/>
      <c r="C863" s="60"/>
    </row>
    <row r="864">
      <c r="A864" s="12"/>
      <c r="B864" s="12"/>
      <c r="C864" s="60"/>
    </row>
    <row r="865">
      <c r="A865" s="12"/>
      <c r="B865" s="12"/>
      <c r="C865" s="60"/>
    </row>
    <row r="866">
      <c r="A866" s="12"/>
      <c r="B866" s="12"/>
      <c r="C866" s="60"/>
    </row>
    <row r="867">
      <c r="A867" s="12"/>
      <c r="B867" s="12"/>
      <c r="C867" s="60"/>
    </row>
    <row r="868">
      <c r="A868" s="12"/>
      <c r="B868" s="12"/>
      <c r="C868" s="60"/>
    </row>
    <row r="869">
      <c r="A869" s="12"/>
      <c r="B869" s="12"/>
      <c r="C869" s="60"/>
    </row>
    <row r="870">
      <c r="A870" s="12"/>
      <c r="B870" s="12"/>
      <c r="C870" s="60"/>
    </row>
    <row r="871">
      <c r="A871" s="12"/>
      <c r="B871" s="12"/>
      <c r="C871" s="60"/>
    </row>
    <row r="872">
      <c r="A872" s="12"/>
      <c r="B872" s="12"/>
      <c r="C872" s="60"/>
    </row>
    <row r="873">
      <c r="A873" s="12"/>
      <c r="B873" s="12"/>
      <c r="C873" s="60"/>
    </row>
    <row r="874">
      <c r="A874" s="12"/>
      <c r="B874" s="12"/>
      <c r="C874" s="60"/>
    </row>
    <row r="875">
      <c r="A875" s="12"/>
      <c r="B875" s="12"/>
      <c r="C875" s="60"/>
    </row>
    <row r="876">
      <c r="A876" s="12"/>
      <c r="B876" s="12"/>
      <c r="C876" s="60"/>
    </row>
    <row r="877">
      <c r="A877" s="12"/>
      <c r="B877" s="12"/>
      <c r="C877" s="60"/>
    </row>
    <row r="878">
      <c r="A878" s="12"/>
      <c r="B878" s="12"/>
      <c r="C878" s="60"/>
    </row>
    <row r="879">
      <c r="A879" s="12"/>
      <c r="B879" s="12"/>
      <c r="C879" s="60"/>
    </row>
    <row r="880">
      <c r="A880" s="12"/>
      <c r="B880" s="12"/>
      <c r="C880" s="60"/>
    </row>
    <row r="881">
      <c r="A881" s="12"/>
      <c r="B881" s="12"/>
      <c r="C881" s="60"/>
    </row>
    <row r="882">
      <c r="A882" s="12"/>
      <c r="B882" s="12"/>
      <c r="C882" s="60"/>
    </row>
    <row r="883">
      <c r="A883" s="12"/>
      <c r="B883" s="12"/>
      <c r="C883" s="60"/>
    </row>
    <row r="884">
      <c r="A884" s="12"/>
      <c r="B884" s="12"/>
      <c r="C884" s="60"/>
    </row>
    <row r="885">
      <c r="A885" s="12"/>
      <c r="B885" s="12"/>
      <c r="C885" s="60"/>
    </row>
    <row r="886">
      <c r="A886" s="12"/>
      <c r="B886" s="12"/>
      <c r="C886" s="60"/>
    </row>
    <row r="887">
      <c r="A887" s="12"/>
      <c r="B887" s="12"/>
      <c r="C887" s="60"/>
    </row>
    <row r="888">
      <c r="A888" s="12"/>
      <c r="B888" s="12"/>
      <c r="C888" s="60"/>
    </row>
    <row r="889">
      <c r="A889" s="12"/>
      <c r="B889" s="12"/>
      <c r="C889" s="60"/>
    </row>
    <row r="890">
      <c r="A890" s="12"/>
      <c r="B890" s="12"/>
      <c r="C890" s="60"/>
    </row>
    <row r="891">
      <c r="A891" s="12"/>
      <c r="B891" s="12"/>
      <c r="C891" s="60"/>
    </row>
    <row r="892">
      <c r="A892" s="12"/>
      <c r="B892" s="12"/>
      <c r="C892" s="60"/>
    </row>
    <row r="893">
      <c r="A893" s="12"/>
      <c r="B893" s="12"/>
      <c r="C893" s="60"/>
    </row>
    <row r="894">
      <c r="A894" s="12"/>
      <c r="B894" s="12"/>
      <c r="C894" s="60"/>
    </row>
    <row r="895">
      <c r="A895" s="12"/>
      <c r="B895" s="12"/>
      <c r="C895" s="60"/>
    </row>
    <row r="896">
      <c r="A896" s="12"/>
      <c r="B896" s="12"/>
      <c r="C896" s="60"/>
    </row>
    <row r="897">
      <c r="A897" s="12"/>
      <c r="B897" s="12"/>
      <c r="C897" s="60"/>
    </row>
    <row r="898">
      <c r="A898" s="12"/>
      <c r="B898" s="12"/>
      <c r="C898" s="60"/>
    </row>
    <row r="899">
      <c r="A899" s="12"/>
      <c r="B899" s="12"/>
      <c r="C899" s="60"/>
    </row>
    <row r="900">
      <c r="A900" s="12"/>
      <c r="B900" s="12"/>
      <c r="C900" s="60"/>
    </row>
    <row r="901">
      <c r="A901" s="12"/>
      <c r="B901" s="12"/>
      <c r="C901" s="60"/>
    </row>
    <row r="902">
      <c r="A902" s="12"/>
      <c r="B902" s="12"/>
      <c r="C902" s="60"/>
    </row>
    <row r="903">
      <c r="A903" s="12"/>
      <c r="B903" s="12"/>
      <c r="C903" s="60"/>
    </row>
    <row r="904">
      <c r="A904" s="12"/>
      <c r="B904" s="12"/>
      <c r="C904" s="60"/>
    </row>
    <row r="905">
      <c r="A905" s="12"/>
      <c r="B905" s="12"/>
      <c r="C905" s="60"/>
    </row>
    <row r="906">
      <c r="A906" s="12"/>
      <c r="B906" s="12"/>
      <c r="C906" s="60"/>
    </row>
    <row r="907">
      <c r="A907" s="12"/>
      <c r="B907" s="12"/>
      <c r="C907" s="60"/>
    </row>
    <row r="908">
      <c r="A908" s="12"/>
      <c r="B908" s="12"/>
      <c r="C908" s="60"/>
    </row>
  </sheetData>
  <mergeCells count="13">
    <mergeCell ref="E5:F5"/>
    <mergeCell ref="E6:F6"/>
    <mergeCell ref="A7:B7"/>
    <mergeCell ref="E7:F7"/>
    <mergeCell ref="A8:B8"/>
    <mergeCell ref="E8:F8"/>
    <mergeCell ref="B1:F1"/>
    <mergeCell ref="A2:G2"/>
    <mergeCell ref="A3:C3"/>
    <mergeCell ref="A4:C4"/>
    <mergeCell ref="E4:G4"/>
    <mergeCell ref="A5:B5"/>
    <mergeCell ref="A6:B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25.13"/>
    <col customWidth="1" min="3" max="4" width="15.13"/>
    <col customWidth="1" min="6" max="7" width="25.13"/>
    <col customWidth="1" min="8" max="8" width="15.13"/>
  </cols>
  <sheetData>
    <row r="1" ht="75.0" customHeight="1">
      <c r="A1" s="4" t="s">
        <v>2</v>
      </c>
      <c r="B1" s="7" t="s">
        <v>4</v>
      </c>
      <c r="H1" s="9">
        <f>SUM(C7:D7, H7) / 100</f>
        <v>0.13005</v>
      </c>
      <c r="I1" s="20"/>
    </row>
    <row r="2">
      <c r="A2" s="10" t="s">
        <v>14</v>
      </c>
      <c r="I2" s="10"/>
    </row>
    <row r="3">
      <c r="A3" s="12"/>
    </row>
    <row r="4">
      <c r="A4" s="25" t="s">
        <v>15</v>
      </c>
      <c r="B4" s="6"/>
      <c r="C4" s="6"/>
      <c r="D4" s="8"/>
      <c r="E4" s="15"/>
      <c r="F4" s="25" t="s">
        <v>19</v>
      </c>
      <c r="G4" s="6"/>
      <c r="H4" s="8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>
      <c r="A5" s="16" t="s">
        <v>11</v>
      </c>
      <c r="B5" s="8"/>
      <c r="C5" s="17">
        <v>5000.0</v>
      </c>
      <c r="D5" s="17">
        <v>5000.0</v>
      </c>
      <c r="E5" s="18"/>
      <c r="F5" s="16" t="s">
        <v>11</v>
      </c>
      <c r="G5" s="8"/>
      <c r="H5" s="17">
        <v>1000.0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>
      <c r="A6" s="16" t="s">
        <v>13</v>
      </c>
      <c r="B6" s="8"/>
      <c r="C6" s="17">
        <f>COUNTA(C10:C5025)</f>
        <v>1018</v>
      </c>
      <c r="D6" s="17">
        <f>COUNTA(D10:D1001)</f>
        <v>565</v>
      </c>
      <c r="E6" s="18"/>
      <c r="F6" s="16" t="s">
        <v>13</v>
      </c>
      <c r="G6" s="8"/>
      <c r="H6" s="17">
        <f>COUNTA(F10:F1001)</f>
        <v>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>
      <c r="A7" s="16" t="s">
        <v>17</v>
      </c>
      <c r="B7" s="8"/>
      <c r="C7" s="48">
        <f t="shared" ref="C7:D7" si="1">(C6 * C8) / C5</f>
        <v>10.18</v>
      </c>
      <c r="D7" s="48">
        <f t="shared" si="1"/>
        <v>2.825</v>
      </c>
      <c r="E7" s="18"/>
      <c r="F7" s="16" t="s">
        <v>17</v>
      </c>
      <c r="G7" s="8"/>
      <c r="H7" s="48">
        <f>(H6 * H8) / H5</f>
        <v>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>
      <c r="A8" s="36" t="s">
        <v>24</v>
      </c>
      <c r="B8" s="8"/>
      <c r="C8" s="38">
        <v>50.0</v>
      </c>
      <c r="D8" s="38">
        <v>25.0</v>
      </c>
      <c r="E8" s="18"/>
      <c r="F8" s="36" t="s">
        <v>24</v>
      </c>
      <c r="G8" s="8"/>
      <c r="H8" s="38">
        <v>25.0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ht="59.25" customHeight="1">
      <c r="A9" s="39" t="s">
        <v>59</v>
      </c>
      <c r="B9" s="51" t="s">
        <v>26</v>
      </c>
      <c r="C9" s="40" t="s">
        <v>64</v>
      </c>
      <c r="D9" s="40" t="s">
        <v>66</v>
      </c>
      <c r="E9" s="18"/>
      <c r="F9" s="54" t="s">
        <v>59</v>
      </c>
      <c r="G9" s="54" t="s">
        <v>26</v>
      </c>
      <c r="H9" s="40" t="s">
        <v>70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>
      <c r="A10" s="56" t="s">
        <v>73</v>
      </c>
      <c r="B10" s="57" t="s">
        <v>76</v>
      </c>
      <c r="C10" s="42" t="s">
        <v>79</v>
      </c>
      <c r="D10" s="42" t="s">
        <v>79</v>
      </c>
      <c r="F10" s="41"/>
      <c r="G10" s="41"/>
      <c r="H10" s="41"/>
    </row>
    <row r="11">
      <c r="A11" s="56" t="s">
        <v>82</v>
      </c>
      <c r="B11" s="57" t="s">
        <v>76</v>
      </c>
      <c r="C11" s="42" t="s">
        <v>79</v>
      </c>
      <c r="D11" s="42" t="s">
        <v>79</v>
      </c>
      <c r="F11" s="41"/>
      <c r="G11" s="41"/>
      <c r="H11" s="41"/>
    </row>
    <row r="12">
      <c r="A12" s="56" t="s">
        <v>82</v>
      </c>
      <c r="B12" s="57" t="s">
        <v>76</v>
      </c>
      <c r="C12" s="42" t="s">
        <v>79</v>
      </c>
      <c r="D12" s="42" t="s">
        <v>79</v>
      </c>
      <c r="F12" s="41"/>
      <c r="G12" s="41"/>
      <c r="H12" s="41"/>
    </row>
    <row r="13">
      <c r="A13" s="56" t="s">
        <v>82</v>
      </c>
      <c r="B13" s="57" t="s">
        <v>76</v>
      </c>
      <c r="C13" s="42" t="s">
        <v>79</v>
      </c>
      <c r="D13" s="42" t="s">
        <v>79</v>
      </c>
      <c r="F13" s="41"/>
      <c r="G13" s="41"/>
      <c r="H13" s="41"/>
    </row>
    <row r="14">
      <c r="A14" s="56" t="s">
        <v>92</v>
      </c>
      <c r="B14" s="57" t="s">
        <v>76</v>
      </c>
      <c r="C14" s="42" t="s">
        <v>79</v>
      </c>
      <c r="D14" s="42" t="s">
        <v>79</v>
      </c>
      <c r="F14" s="41"/>
      <c r="G14" s="41"/>
      <c r="H14" s="41"/>
    </row>
    <row r="15">
      <c r="A15" s="56" t="s">
        <v>94</v>
      </c>
      <c r="B15" s="57" t="s">
        <v>76</v>
      </c>
      <c r="C15" s="42" t="s">
        <v>79</v>
      </c>
      <c r="D15" s="42" t="s">
        <v>79</v>
      </c>
      <c r="F15" s="41"/>
      <c r="G15" s="41"/>
      <c r="H15" s="41"/>
    </row>
    <row r="16">
      <c r="A16" s="58" t="s">
        <v>96</v>
      </c>
      <c r="B16" s="59" t="s">
        <v>100</v>
      </c>
      <c r="C16" s="42" t="s">
        <v>79</v>
      </c>
      <c r="D16" s="42" t="s">
        <v>79</v>
      </c>
      <c r="F16" s="41"/>
      <c r="G16" s="41"/>
      <c r="H16" s="41"/>
    </row>
    <row r="17">
      <c r="A17" s="58" t="s">
        <v>102</v>
      </c>
      <c r="B17" s="59" t="s">
        <v>100</v>
      </c>
      <c r="C17" s="42" t="s">
        <v>79</v>
      </c>
      <c r="D17" s="42" t="s">
        <v>79</v>
      </c>
      <c r="F17" s="41"/>
      <c r="G17" s="41"/>
      <c r="H17" s="41"/>
    </row>
    <row r="18">
      <c r="A18" s="58" t="s">
        <v>105</v>
      </c>
      <c r="B18" s="59" t="s">
        <v>100</v>
      </c>
      <c r="C18" s="42" t="s">
        <v>79</v>
      </c>
      <c r="D18" s="42" t="s">
        <v>79</v>
      </c>
      <c r="F18" s="41"/>
      <c r="G18" s="41"/>
      <c r="H18" s="41"/>
    </row>
    <row r="19">
      <c r="A19" s="58" t="s">
        <v>109</v>
      </c>
      <c r="B19" s="59" t="s">
        <v>100</v>
      </c>
      <c r="C19" s="42" t="s">
        <v>79</v>
      </c>
      <c r="D19" s="42" t="s">
        <v>79</v>
      </c>
      <c r="F19" s="41"/>
      <c r="G19" s="41"/>
      <c r="H19" s="41"/>
    </row>
    <row r="20">
      <c r="A20" s="58" t="s">
        <v>109</v>
      </c>
      <c r="B20" s="59" t="s">
        <v>100</v>
      </c>
      <c r="C20" s="42" t="s">
        <v>79</v>
      </c>
      <c r="D20" s="61" t="s">
        <v>79</v>
      </c>
    </row>
    <row r="21">
      <c r="A21" s="56" t="s">
        <v>113</v>
      </c>
      <c r="B21" s="57" t="s">
        <v>115</v>
      </c>
      <c r="C21" s="42" t="s">
        <v>79</v>
      </c>
      <c r="D21" s="61" t="s">
        <v>79</v>
      </c>
    </row>
    <row r="22">
      <c r="A22" s="56" t="s">
        <v>117</v>
      </c>
      <c r="B22" s="57" t="s">
        <v>115</v>
      </c>
      <c r="C22" s="42" t="s">
        <v>79</v>
      </c>
      <c r="D22" s="61" t="s">
        <v>79</v>
      </c>
    </row>
    <row r="23">
      <c r="A23" s="56" t="s">
        <v>117</v>
      </c>
      <c r="B23" s="57" t="s">
        <v>115</v>
      </c>
      <c r="C23" s="42" t="s">
        <v>79</v>
      </c>
      <c r="D23" s="61" t="s">
        <v>79</v>
      </c>
    </row>
    <row r="24">
      <c r="A24" s="56" t="s">
        <v>120</v>
      </c>
      <c r="B24" s="57" t="s">
        <v>115</v>
      </c>
      <c r="C24" s="42" t="s">
        <v>79</v>
      </c>
      <c r="D24" s="60"/>
    </row>
    <row r="25">
      <c r="A25" s="56" t="s">
        <v>122</v>
      </c>
      <c r="B25" s="57" t="s">
        <v>115</v>
      </c>
      <c r="C25" s="42" t="s">
        <v>79</v>
      </c>
      <c r="D25" s="61" t="s">
        <v>79</v>
      </c>
    </row>
    <row r="26">
      <c r="A26" s="56" t="s">
        <v>122</v>
      </c>
      <c r="B26" s="57" t="s">
        <v>115</v>
      </c>
      <c r="C26" s="42" t="s">
        <v>79</v>
      </c>
      <c r="D26" s="61" t="s">
        <v>79</v>
      </c>
    </row>
    <row r="27">
      <c r="A27" s="58" t="s">
        <v>123</v>
      </c>
      <c r="B27" s="59" t="s">
        <v>125</v>
      </c>
      <c r="C27" s="42" t="s">
        <v>79</v>
      </c>
      <c r="D27" s="61" t="s">
        <v>79</v>
      </c>
    </row>
    <row r="28">
      <c r="A28" s="58" t="s">
        <v>126</v>
      </c>
      <c r="B28" s="59" t="s">
        <v>125</v>
      </c>
      <c r="C28" s="42" t="s">
        <v>79</v>
      </c>
      <c r="D28" s="61" t="s">
        <v>79</v>
      </c>
    </row>
    <row r="29">
      <c r="A29" s="58" t="s">
        <v>128</v>
      </c>
      <c r="B29" s="59" t="s">
        <v>125</v>
      </c>
      <c r="C29" s="42" t="s">
        <v>79</v>
      </c>
      <c r="D29" s="61" t="s">
        <v>79</v>
      </c>
    </row>
    <row r="30">
      <c r="A30" s="58" t="s">
        <v>128</v>
      </c>
      <c r="B30" s="59" t="s">
        <v>125</v>
      </c>
      <c r="C30" s="42" t="s">
        <v>79</v>
      </c>
      <c r="D30" s="61" t="s">
        <v>79</v>
      </c>
    </row>
    <row r="31">
      <c r="A31" s="58" t="s">
        <v>131</v>
      </c>
      <c r="B31" s="59" t="s">
        <v>125</v>
      </c>
      <c r="C31" s="42" t="s">
        <v>79</v>
      </c>
      <c r="D31" s="60"/>
    </row>
    <row r="32">
      <c r="A32" s="56" t="s">
        <v>133</v>
      </c>
      <c r="B32" s="57" t="s">
        <v>134</v>
      </c>
      <c r="C32" s="42" t="s">
        <v>79</v>
      </c>
      <c r="D32" s="60"/>
    </row>
    <row r="33">
      <c r="A33" s="56" t="s">
        <v>135</v>
      </c>
      <c r="B33" s="57" t="s">
        <v>134</v>
      </c>
      <c r="C33" s="42" t="s">
        <v>79</v>
      </c>
      <c r="D33" s="61" t="s">
        <v>79</v>
      </c>
    </row>
    <row r="34">
      <c r="A34" s="56" t="s">
        <v>137</v>
      </c>
      <c r="B34" s="57" t="s">
        <v>134</v>
      </c>
      <c r="C34" s="42" t="s">
        <v>79</v>
      </c>
      <c r="D34" s="61" t="s">
        <v>79</v>
      </c>
    </row>
    <row r="35">
      <c r="A35" s="56" t="s">
        <v>138</v>
      </c>
      <c r="B35" s="57" t="s">
        <v>134</v>
      </c>
      <c r="C35" s="42" t="s">
        <v>79</v>
      </c>
      <c r="D35" s="61" t="s">
        <v>79</v>
      </c>
    </row>
    <row r="36">
      <c r="A36" s="63" t="s">
        <v>140</v>
      </c>
      <c r="B36" s="57" t="s">
        <v>134</v>
      </c>
      <c r="C36" s="42" t="s">
        <v>79</v>
      </c>
      <c r="D36" s="61" t="s">
        <v>79</v>
      </c>
    </row>
    <row r="37">
      <c r="A37" s="56" t="s">
        <v>137</v>
      </c>
      <c r="B37" s="57" t="s">
        <v>134</v>
      </c>
      <c r="C37" s="42" t="s">
        <v>79</v>
      </c>
      <c r="D37" s="61" t="s">
        <v>79</v>
      </c>
    </row>
    <row r="38">
      <c r="A38" s="63" t="s">
        <v>144</v>
      </c>
      <c r="B38" s="57" t="s">
        <v>134</v>
      </c>
      <c r="C38" s="42" t="s">
        <v>79</v>
      </c>
      <c r="D38" s="61" t="s">
        <v>79</v>
      </c>
    </row>
    <row r="39">
      <c r="A39" s="63" t="s">
        <v>145</v>
      </c>
      <c r="B39" s="57" t="s">
        <v>134</v>
      </c>
      <c r="C39" s="42" t="s">
        <v>79</v>
      </c>
      <c r="D39" s="61" t="s">
        <v>79</v>
      </c>
    </row>
    <row r="40">
      <c r="A40" s="63" t="s">
        <v>147</v>
      </c>
      <c r="B40" s="57" t="s">
        <v>134</v>
      </c>
      <c r="C40" s="42" t="s">
        <v>79</v>
      </c>
      <c r="D40" s="61" t="s">
        <v>79</v>
      </c>
    </row>
    <row r="41">
      <c r="A41" s="63" t="s">
        <v>148</v>
      </c>
      <c r="B41" s="57" t="s">
        <v>134</v>
      </c>
      <c r="C41" s="42" t="s">
        <v>79</v>
      </c>
      <c r="D41" s="61" t="s">
        <v>79</v>
      </c>
    </row>
    <row r="42">
      <c r="A42" s="63" t="s">
        <v>150</v>
      </c>
      <c r="B42" s="64" t="s">
        <v>151</v>
      </c>
      <c r="C42" s="42" t="s">
        <v>79</v>
      </c>
      <c r="D42" s="60"/>
    </row>
    <row r="43">
      <c r="A43" s="63" t="s">
        <v>153</v>
      </c>
      <c r="B43" s="64" t="s">
        <v>151</v>
      </c>
      <c r="C43" s="42" t="s">
        <v>79</v>
      </c>
      <c r="D43" s="61" t="s">
        <v>79</v>
      </c>
    </row>
    <row r="44">
      <c r="A44" s="63" t="s">
        <v>154</v>
      </c>
      <c r="B44" s="64" t="s">
        <v>151</v>
      </c>
      <c r="C44" s="42" t="s">
        <v>79</v>
      </c>
      <c r="D44" s="61" t="s">
        <v>79</v>
      </c>
    </row>
    <row r="45">
      <c r="A45" s="63" t="s">
        <v>156</v>
      </c>
      <c r="B45" s="64" t="s">
        <v>151</v>
      </c>
      <c r="C45" s="42" t="s">
        <v>79</v>
      </c>
      <c r="D45" s="61" t="s">
        <v>79</v>
      </c>
    </row>
    <row r="46">
      <c r="A46" s="63" t="s">
        <v>157</v>
      </c>
      <c r="B46" s="64" t="s">
        <v>151</v>
      </c>
      <c r="C46" s="42" t="s">
        <v>79</v>
      </c>
      <c r="D46" s="61" t="s">
        <v>79</v>
      </c>
    </row>
    <row r="47">
      <c r="A47" s="63" t="s">
        <v>159</v>
      </c>
      <c r="B47" s="64" t="s">
        <v>160</v>
      </c>
      <c r="C47" s="42" t="s">
        <v>79</v>
      </c>
      <c r="D47" s="61" t="s">
        <v>79</v>
      </c>
    </row>
    <row r="48">
      <c r="A48" s="63" t="s">
        <v>161</v>
      </c>
      <c r="B48" s="64" t="s">
        <v>160</v>
      </c>
      <c r="C48" s="42" t="s">
        <v>79</v>
      </c>
      <c r="D48" s="61" t="s">
        <v>79</v>
      </c>
    </row>
    <row r="49">
      <c r="A49" s="63" t="s">
        <v>163</v>
      </c>
      <c r="B49" s="64" t="s">
        <v>160</v>
      </c>
      <c r="C49" s="42" t="s">
        <v>79</v>
      </c>
      <c r="D49" s="61" t="s">
        <v>79</v>
      </c>
    </row>
    <row r="50">
      <c r="A50" s="63" t="s">
        <v>164</v>
      </c>
      <c r="B50" s="64" t="s">
        <v>160</v>
      </c>
      <c r="C50" s="42" t="s">
        <v>79</v>
      </c>
      <c r="D50" s="61" t="s">
        <v>79</v>
      </c>
    </row>
    <row r="51">
      <c r="A51" s="63" t="s">
        <v>165</v>
      </c>
      <c r="B51" s="64" t="s">
        <v>160</v>
      </c>
      <c r="C51" s="42" t="s">
        <v>79</v>
      </c>
      <c r="D51" s="61" t="s">
        <v>79</v>
      </c>
    </row>
    <row r="52">
      <c r="A52" s="63" t="s">
        <v>163</v>
      </c>
      <c r="B52" s="64" t="s">
        <v>160</v>
      </c>
      <c r="C52" s="42" t="s">
        <v>79</v>
      </c>
      <c r="D52" s="61" t="s">
        <v>79</v>
      </c>
    </row>
    <row r="53">
      <c r="A53" s="63" t="s">
        <v>167</v>
      </c>
      <c r="B53" s="64" t="s">
        <v>160</v>
      </c>
      <c r="C53" s="42" t="s">
        <v>79</v>
      </c>
      <c r="D53" s="61" t="s">
        <v>79</v>
      </c>
    </row>
    <row r="54">
      <c r="A54" s="63" t="s">
        <v>169</v>
      </c>
      <c r="B54" s="64" t="s">
        <v>160</v>
      </c>
      <c r="C54" s="42" t="s">
        <v>79</v>
      </c>
      <c r="D54" s="61" t="s">
        <v>79</v>
      </c>
    </row>
    <row r="55">
      <c r="A55" s="63" t="s">
        <v>170</v>
      </c>
      <c r="B55" s="64" t="s">
        <v>171</v>
      </c>
      <c r="C55" s="42" t="s">
        <v>79</v>
      </c>
      <c r="D55" s="61" t="s">
        <v>79</v>
      </c>
    </row>
    <row r="56">
      <c r="A56" s="63" t="s">
        <v>173</v>
      </c>
      <c r="B56" s="64" t="s">
        <v>171</v>
      </c>
      <c r="C56" s="42" t="s">
        <v>79</v>
      </c>
      <c r="D56" s="61" t="s">
        <v>79</v>
      </c>
    </row>
    <row r="57">
      <c r="A57" s="63" t="s">
        <v>174</v>
      </c>
      <c r="B57" s="64" t="s">
        <v>171</v>
      </c>
      <c r="C57" s="42" t="s">
        <v>79</v>
      </c>
      <c r="D57" s="61" t="s">
        <v>79</v>
      </c>
    </row>
    <row r="58">
      <c r="A58" s="63" t="s">
        <v>176</v>
      </c>
      <c r="B58" s="64" t="s">
        <v>171</v>
      </c>
      <c r="C58" s="42" t="s">
        <v>79</v>
      </c>
      <c r="D58" s="61" t="s">
        <v>79</v>
      </c>
    </row>
    <row r="59">
      <c r="A59" s="63" t="s">
        <v>177</v>
      </c>
      <c r="B59" s="64" t="s">
        <v>171</v>
      </c>
      <c r="C59" s="42" t="s">
        <v>79</v>
      </c>
      <c r="D59" s="61" t="s">
        <v>79</v>
      </c>
    </row>
    <row r="60">
      <c r="A60" s="63" t="s">
        <v>179</v>
      </c>
      <c r="B60" s="64" t="s">
        <v>180</v>
      </c>
      <c r="C60" s="42" t="s">
        <v>79</v>
      </c>
      <c r="D60" s="61" t="s">
        <v>79</v>
      </c>
    </row>
    <row r="61">
      <c r="A61" s="63" t="s">
        <v>181</v>
      </c>
      <c r="B61" s="64" t="s">
        <v>180</v>
      </c>
      <c r="C61" s="42" t="s">
        <v>79</v>
      </c>
      <c r="D61" s="61" t="s">
        <v>79</v>
      </c>
    </row>
    <row r="62">
      <c r="A62" s="63" t="s">
        <v>183</v>
      </c>
      <c r="B62" s="64" t="s">
        <v>184</v>
      </c>
      <c r="C62" s="42" t="s">
        <v>79</v>
      </c>
      <c r="D62" s="61" t="s">
        <v>79</v>
      </c>
    </row>
    <row r="63">
      <c r="A63" s="63" t="s">
        <v>185</v>
      </c>
      <c r="B63" s="64" t="s">
        <v>184</v>
      </c>
      <c r="C63" s="42" t="s">
        <v>79</v>
      </c>
      <c r="D63" s="61" t="s">
        <v>79</v>
      </c>
    </row>
    <row r="64">
      <c r="A64" s="63" t="s">
        <v>187</v>
      </c>
      <c r="B64" s="64" t="s">
        <v>184</v>
      </c>
      <c r="C64" s="42" t="s">
        <v>79</v>
      </c>
      <c r="D64" s="61" t="s">
        <v>79</v>
      </c>
    </row>
    <row r="65">
      <c r="A65" s="63" t="s">
        <v>188</v>
      </c>
      <c r="B65" s="64" t="s">
        <v>184</v>
      </c>
      <c r="C65" s="42" t="s">
        <v>79</v>
      </c>
      <c r="D65" s="61" t="s">
        <v>79</v>
      </c>
    </row>
    <row r="66">
      <c r="A66" s="63" t="s">
        <v>190</v>
      </c>
      <c r="B66" s="64" t="s">
        <v>184</v>
      </c>
      <c r="C66" s="42" t="s">
        <v>79</v>
      </c>
      <c r="D66" s="61" t="s">
        <v>79</v>
      </c>
    </row>
    <row r="67">
      <c r="A67" s="63" t="s">
        <v>190</v>
      </c>
      <c r="B67" s="64" t="s">
        <v>184</v>
      </c>
      <c r="C67" s="42" t="s">
        <v>79</v>
      </c>
      <c r="D67" s="61" t="s">
        <v>79</v>
      </c>
    </row>
    <row r="68">
      <c r="A68" s="63" t="s">
        <v>192</v>
      </c>
      <c r="B68" s="64" t="s">
        <v>184</v>
      </c>
      <c r="C68" s="42" t="s">
        <v>79</v>
      </c>
      <c r="D68" s="61" t="s">
        <v>79</v>
      </c>
    </row>
    <row r="69">
      <c r="A69" s="67" t="s">
        <v>193</v>
      </c>
      <c r="B69" s="64" t="s">
        <v>184</v>
      </c>
      <c r="C69" s="42" t="s">
        <v>79</v>
      </c>
      <c r="D69" s="61" t="s">
        <v>79</v>
      </c>
    </row>
    <row r="70">
      <c r="A70" s="63" t="s">
        <v>195</v>
      </c>
      <c r="B70" s="64" t="s">
        <v>184</v>
      </c>
      <c r="C70" s="42" t="s">
        <v>79</v>
      </c>
      <c r="D70" s="61" t="s">
        <v>79</v>
      </c>
    </row>
    <row r="71">
      <c r="A71" s="63" t="s">
        <v>197</v>
      </c>
      <c r="B71" s="64" t="s">
        <v>198</v>
      </c>
      <c r="C71" s="42" t="s">
        <v>79</v>
      </c>
      <c r="D71" s="61" t="s">
        <v>79</v>
      </c>
    </row>
    <row r="72">
      <c r="A72" s="63" t="s">
        <v>199</v>
      </c>
      <c r="B72" s="64" t="s">
        <v>198</v>
      </c>
      <c r="C72" s="42" t="s">
        <v>79</v>
      </c>
      <c r="D72" s="61" t="s">
        <v>79</v>
      </c>
    </row>
    <row r="73">
      <c r="A73" s="63" t="s">
        <v>201</v>
      </c>
      <c r="B73" s="64" t="s">
        <v>198</v>
      </c>
      <c r="C73" s="42" t="s">
        <v>79</v>
      </c>
      <c r="D73" s="61" t="s">
        <v>79</v>
      </c>
    </row>
    <row r="74">
      <c r="A74" s="63" t="s">
        <v>202</v>
      </c>
      <c r="B74" s="64" t="s">
        <v>198</v>
      </c>
      <c r="C74" s="42" t="s">
        <v>79</v>
      </c>
      <c r="D74" s="61" t="s">
        <v>79</v>
      </c>
    </row>
    <row r="75">
      <c r="A75" s="63" t="s">
        <v>204</v>
      </c>
      <c r="B75" s="64" t="s">
        <v>198</v>
      </c>
      <c r="C75" s="42" t="s">
        <v>79</v>
      </c>
      <c r="D75" s="61" t="s">
        <v>79</v>
      </c>
    </row>
    <row r="76">
      <c r="A76" s="63" t="s">
        <v>205</v>
      </c>
      <c r="B76" s="64" t="s">
        <v>198</v>
      </c>
      <c r="C76" s="42" t="s">
        <v>79</v>
      </c>
      <c r="D76" s="61" t="s">
        <v>79</v>
      </c>
    </row>
    <row r="77">
      <c r="A77" s="63" t="s">
        <v>207</v>
      </c>
      <c r="B77" s="64" t="s">
        <v>208</v>
      </c>
      <c r="C77" s="42" t="s">
        <v>79</v>
      </c>
      <c r="D77" s="61" t="s">
        <v>79</v>
      </c>
    </row>
    <row r="78">
      <c r="A78" s="63" t="s">
        <v>209</v>
      </c>
      <c r="B78" s="64" t="s">
        <v>208</v>
      </c>
      <c r="C78" s="42" t="s">
        <v>79</v>
      </c>
      <c r="D78" s="61" t="s">
        <v>79</v>
      </c>
    </row>
    <row r="79">
      <c r="A79" s="63" t="s">
        <v>211</v>
      </c>
      <c r="B79" s="64" t="s">
        <v>208</v>
      </c>
      <c r="C79" s="42" t="s">
        <v>79</v>
      </c>
      <c r="D79" s="61" t="s">
        <v>79</v>
      </c>
    </row>
    <row r="80">
      <c r="A80" s="63" t="s">
        <v>212</v>
      </c>
      <c r="B80" s="64" t="s">
        <v>208</v>
      </c>
      <c r="C80" s="42" t="s">
        <v>79</v>
      </c>
      <c r="D80" s="61" t="s">
        <v>79</v>
      </c>
    </row>
    <row r="81">
      <c r="A81" s="63" t="s">
        <v>214</v>
      </c>
      <c r="B81" s="64" t="s">
        <v>208</v>
      </c>
      <c r="C81" s="42" t="s">
        <v>79</v>
      </c>
      <c r="D81" s="61" t="s">
        <v>79</v>
      </c>
    </row>
    <row r="82">
      <c r="A82" s="63" t="s">
        <v>215</v>
      </c>
      <c r="B82" s="64" t="s">
        <v>208</v>
      </c>
      <c r="C82" s="42" t="s">
        <v>79</v>
      </c>
      <c r="D82" s="61" t="s">
        <v>79</v>
      </c>
    </row>
    <row r="83">
      <c r="A83" s="63" t="s">
        <v>217</v>
      </c>
      <c r="B83" s="64" t="s">
        <v>116</v>
      </c>
      <c r="C83" s="42" t="s">
        <v>79</v>
      </c>
      <c r="D83" s="61" t="s">
        <v>79</v>
      </c>
    </row>
    <row r="84">
      <c r="A84" s="63" t="s">
        <v>218</v>
      </c>
      <c r="B84" s="64" t="s">
        <v>136</v>
      </c>
      <c r="C84" s="42" t="s">
        <v>79</v>
      </c>
      <c r="D84" s="61" t="s">
        <v>79</v>
      </c>
    </row>
    <row r="85">
      <c r="A85" s="63" t="s">
        <v>220</v>
      </c>
      <c r="B85" s="64" t="s">
        <v>136</v>
      </c>
      <c r="C85" s="42" t="s">
        <v>79</v>
      </c>
      <c r="D85" s="61" t="s">
        <v>79</v>
      </c>
    </row>
    <row r="86">
      <c r="A86" s="63" t="s">
        <v>221</v>
      </c>
      <c r="B86" s="64" t="s">
        <v>136</v>
      </c>
      <c r="C86" s="42" t="s">
        <v>79</v>
      </c>
      <c r="D86" s="61" t="s">
        <v>79</v>
      </c>
    </row>
    <row r="87">
      <c r="A87" s="63" t="s">
        <v>223</v>
      </c>
      <c r="B87" s="64" t="s">
        <v>116</v>
      </c>
      <c r="C87" s="42" t="s">
        <v>79</v>
      </c>
      <c r="D87" s="61" t="s">
        <v>79</v>
      </c>
    </row>
    <row r="88">
      <c r="A88" s="63" t="s">
        <v>223</v>
      </c>
      <c r="B88" s="64" t="s">
        <v>116</v>
      </c>
      <c r="C88" s="42" t="s">
        <v>79</v>
      </c>
      <c r="D88" s="61" t="s">
        <v>79</v>
      </c>
    </row>
    <row r="89">
      <c r="A89" s="63" t="s">
        <v>225</v>
      </c>
      <c r="B89" s="64" t="s">
        <v>116</v>
      </c>
      <c r="C89" s="42" t="s">
        <v>79</v>
      </c>
      <c r="D89" s="61" t="s">
        <v>79</v>
      </c>
    </row>
    <row r="90">
      <c r="A90" s="63" t="s">
        <v>225</v>
      </c>
      <c r="B90" s="64" t="s">
        <v>116</v>
      </c>
      <c r="C90" s="42" t="s">
        <v>79</v>
      </c>
      <c r="D90" s="61" t="s">
        <v>79</v>
      </c>
    </row>
    <row r="91">
      <c r="A91" s="63" t="s">
        <v>227</v>
      </c>
      <c r="B91" s="64" t="s">
        <v>116</v>
      </c>
      <c r="C91" s="42" t="s">
        <v>79</v>
      </c>
      <c r="D91" s="61" t="s">
        <v>79</v>
      </c>
    </row>
    <row r="92">
      <c r="A92" s="63" t="s">
        <v>228</v>
      </c>
      <c r="B92" s="64" t="s">
        <v>116</v>
      </c>
      <c r="C92" s="42" t="s">
        <v>79</v>
      </c>
      <c r="D92" s="61" t="s">
        <v>79</v>
      </c>
    </row>
    <row r="93">
      <c r="A93" s="63" t="s">
        <v>230</v>
      </c>
      <c r="B93" s="64" t="s">
        <v>116</v>
      </c>
      <c r="C93" s="42" t="s">
        <v>79</v>
      </c>
      <c r="D93" s="61" t="s">
        <v>79</v>
      </c>
    </row>
    <row r="94">
      <c r="A94" s="63" t="s">
        <v>232</v>
      </c>
      <c r="B94" s="64" t="s">
        <v>116</v>
      </c>
      <c r="C94" s="42" t="s">
        <v>79</v>
      </c>
      <c r="D94" s="61" t="s">
        <v>79</v>
      </c>
    </row>
    <row r="95">
      <c r="A95" s="63" t="s">
        <v>233</v>
      </c>
      <c r="B95" s="64" t="s">
        <v>116</v>
      </c>
      <c r="C95" s="42" t="s">
        <v>79</v>
      </c>
      <c r="D95" s="61" t="s">
        <v>79</v>
      </c>
    </row>
    <row r="96">
      <c r="A96" s="63" t="s">
        <v>235</v>
      </c>
      <c r="B96" s="64" t="s">
        <v>116</v>
      </c>
      <c r="C96" s="42" t="s">
        <v>79</v>
      </c>
      <c r="D96" s="61" t="s">
        <v>79</v>
      </c>
    </row>
    <row r="97">
      <c r="A97" s="63" t="s">
        <v>236</v>
      </c>
      <c r="B97" s="64" t="s">
        <v>116</v>
      </c>
      <c r="C97" s="42" t="s">
        <v>79</v>
      </c>
      <c r="D97" s="61" t="s">
        <v>79</v>
      </c>
    </row>
    <row r="98">
      <c r="A98" s="63" t="s">
        <v>238</v>
      </c>
      <c r="B98" s="64" t="s">
        <v>175</v>
      </c>
      <c r="C98" s="42" t="s">
        <v>79</v>
      </c>
      <c r="D98" s="61" t="s">
        <v>79</v>
      </c>
    </row>
    <row r="99">
      <c r="A99" s="63" t="s">
        <v>239</v>
      </c>
      <c r="B99" s="64" t="s">
        <v>175</v>
      </c>
      <c r="C99" s="42" t="s">
        <v>79</v>
      </c>
      <c r="D99" s="61" t="s">
        <v>79</v>
      </c>
    </row>
    <row r="100">
      <c r="A100" s="63" t="s">
        <v>241</v>
      </c>
      <c r="B100" s="64" t="s">
        <v>175</v>
      </c>
      <c r="C100" s="42" t="s">
        <v>79</v>
      </c>
      <c r="D100" s="61" t="s">
        <v>79</v>
      </c>
    </row>
    <row r="101">
      <c r="A101" s="63" t="s">
        <v>242</v>
      </c>
      <c r="B101" s="64" t="s">
        <v>175</v>
      </c>
      <c r="C101" s="42" t="s">
        <v>79</v>
      </c>
      <c r="D101" s="61" t="s">
        <v>79</v>
      </c>
    </row>
    <row r="102">
      <c r="A102" s="63" t="s">
        <v>244</v>
      </c>
      <c r="B102" s="64" t="s">
        <v>175</v>
      </c>
      <c r="C102" s="42" t="s">
        <v>79</v>
      </c>
      <c r="D102" s="61" t="s">
        <v>79</v>
      </c>
    </row>
    <row r="103">
      <c r="A103" s="63" t="s">
        <v>245</v>
      </c>
      <c r="B103" s="64" t="s">
        <v>175</v>
      </c>
      <c r="C103" s="42" t="s">
        <v>79</v>
      </c>
      <c r="D103" s="61" t="s">
        <v>79</v>
      </c>
    </row>
    <row r="104">
      <c r="A104" s="63" t="s">
        <v>247</v>
      </c>
      <c r="B104" s="64" t="s">
        <v>175</v>
      </c>
      <c r="C104" s="42" t="s">
        <v>79</v>
      </c>
      <c r="D104" s="60"/>
    </row>
    <row r="105">
      <c r="A105" s="63" t="s">
        <v>248</v>
      </c>
      <c r="B105" s="64" t="s">
        <v>149</v>
      </c>
      <c r="C105" s="42" t="s">
        <v>79</v>
      </c>
      <c r="D105" s="61" t="s">
        <v>79</v>
      </c>
    </row>
    <row r="106">
      <c r="A106" s="63" t="s">
        <v>250</v>
      </c>
      <c r="B106" s="64" t="s">
        <v>149</v>
      </c>
      <c r="C106" s="42" t="s">
        <v>79</v>
      </c>
      <c r="D106" s="61" t="s">
        <v>79</v>
      </c>
    </row>
    <row r="107">
      <c r="A107" s="63" t="s">
        <v>251</v>
      </c>
      <c r="B107" s="64" t="s">
        <v>149</v>
      </c>
      <c r="C107" s="42" t="s">
        <v>79</v>
      </c>
      <c r="D107" s="61" t="s">
        <v>79</v>
      </c>
    </row>
    <row r="108">
      <c r="A108" s="63" t="s">
        <v>253</v>
      </c>
      <c r="B108" s="64" t="s">
        <v>254</v>
      </c>
      <c r="C108" s="42" t="s">
        <v>79</v>
      </c>
      <c r="D108" s="61" t="s">
        <v>79</v>
      </c>
    </row>
    <row r="109">
      <c r="A109" s="63" t="s">
        <v>255</v>
      </c>
      <c r="B109" s="64" t="s">
        <v>254</v>
      </c>
      <c r="C109" s="42" t="s">
        <v>79</v>
      </c>
      <c r="D109" s="61" t="s">
        <v>79</v>
      </c>
    </row>
    <row r="110">
      <c r="A110" s="63" t="s">
        <v>257</v>
      </c>
      <c r="B110" s="64" t="s">
        <v>254</v>
      </c>
      <c r="C110" s="42" t="s">
        <v>79</v>
      </c>
      <c r="D110" s="61" t="s">
        <v>79</v>
      </c>
    </row>
    <row r="111">
      <c r="A111" s="63" t="s">
        <v>258</v>
      </c>
      <c r="B111" s="64" t="s">
        <v>254</v>
      </c>
      <c r="C111" s="42" t="s">
        <v>79</v>
      </c>
      <c r="D111" s="61" t="s">
        <v>79</v>
      </c>
    </row>
    <row r="112">
      <c r="A112" s="63" t="s">
        <v>259</v>
      </c>
      <c r="B112" s="64" t="s">
        <v>260</v>
      </c>
      <c r="C112" s="42" t="s">
        <v>79</v>
      </c>
      <c r="D112" s="61" t="s">
        <v>79</v>
      </c>
    </row>
    <row r="113">
      <c r="A113" s="63" t="s">
        <v>261</v>
      </c>
      <c r="B113" s="64" t="s">
        <v>260</v>
      </c>
      <c r="C113" s="42" t="s">
        <v>79</v>
      </c>
      <c r="D113" s="61" t="s">
        <v>79</v>
      </c>
    </row>
    <row r="114">
      <c r="A114" s="63" t="s">
        <v>263</v>
      </c>
      <c r="B114" s="64" t="s">
        <v>264</v>
      </c>
      <c r="C114" s="42" t="s">
        <v>79</v>
      </c>
      <c r="D114" s="61" t="s">
        <v>79</v>
      </c>
    </row>
    <row r="115">
      <c r="A115" s="63" t="s">
        <v>265</v>
      </c>
      <c r="B115" s="64" t="s">
        <v>264</v>
      </c>
      <c r="C115" s="42" t="s">
        <v>79</v>
      </c>
      <c r="D115" s="61" t="s">
        <v>79</v>
      </c>
    </row>
    <row r="116">
      <c r="A116" s="63" t="s">
        <v>267</v>
      </c>
      <c r="B116" s="64" t="s">
        <v>168</v>
      </c>
      <c r="C116" s="42" t="s">
        <v>79</v>
      </c>
      <c r="D116" s="61" t="s">
        <v>79</v>
      </c>
    </row>
    <row r="117">
      <c r="A117" s="63" t="s">
        <v>268</v>
      </c>
      <c r="B117" s="64" t="s">
        <v>168</v>
      </c>
      <c r="C117" s="42" t="s">
        <v>79</v>
      </c>
      <c r="D117" s="61" t="s">
        <v>79</v>
      </c>
    </row>
    <row r="118">
      <c r="A118" s="63" t="s">
        <v>270</v>
      </c>
      <c r="B118" s="64" t="s">
        <v>168</v>
      </c>
      <c r="C118" s="42" t="s">
        <v>79</v>
      </c>
      <c r="D118" s="61" t="s">
        <v>79</v>
      </c>
    </row>
    <row r="119">
      <c r="A119" s="63" t="s">
        <v>271</v>
      </c>
      <c r="B119" s="64" t="s">
        <v>168</v>
      </c>
      <c r="C119" s="42" t="s">
        <v>79</v>
      </c>
      <c r="D119" s="61" t="s">
        <v>79</v>
      </c>
    </row>
    <row r="120">
      <c r="A120" s="63" t="s">
        <v>273</v>
      </c>
      <c r="B120" s="64" t="s">
        <v>168</v>
      </c>
      <c r="C120" s="42" t="s">
        <v>79</v>
      </c>
      <c r="D120" s="61" t="s">
        <v>79</v>
      </c>
    </row>
    <row r="121">
      <c r="A121" s="63" t="s">
        <v>274</v>
      </c>
      <c r="B121" s="64" t="s">
        <v>276</v>
      </c>
      <c r="C121" s="42" t="s">
        <v>79</v>
      </c>
      <c r="D121" s="61" t="s">
        <v>79</v>
      </c>
    </row>
    <row r="122">
      <c r="A122" s="63" t="s">
        <v>277</v>
      </c>
      <c r="B122" s="64" t="s">
        <v>276</v>
      </c>
      <c r="C122" s="42" t="s">
        <v>79</v>
      </c>
      <c r="D122" s="61" t="s">
        <v>79</v>
      </c>
    </row>
    <row r="123">
      <c r="A123" s="63" t="s">
        <v>279</v>
      </c>
      <c r="B123" s="64" t="s">
        <v>276</v>
      </c>
      <c r="C123" s="42" t="s">
        <v>79</v>
      </c>
      <c r="D123" s="61" t="s">
        <v>79</v>
      </c>
    </row>
    <row r="124">
      <c r="A124" s="63" t="s">
        <v>280</v>
      </c>
      <c r="B124" s="64" t="s">
        <v>276</v>
      </c>
      <c r="C124" s="42" t="s">
        <v>79</v>
      </c>
      <c r="D124" s="61" t="s">
        <v>79</v>
      </c>
    </row>
    <row r="125">
      <c r="A125" s="63" t="s">
        <v>281</v>
      </c>
      <c r="B125" s="64" t="s">
        <v>276</v>
      </c>
      <c r="C125" s="42" t="s">
        <v>79</v>
      </c>
      <c r="D125" s="61" t="s">
        <v>79</v>
      </c>
    </row>
    <row r="126">
      <c r="A126" s="63" t="s">
        <v>283</v>
      </c>
      <c r="B126" s="64" t="s">
        <v>276</v>
      </c>
      <c r="C126" s="42" t="s">
        <v>79</v>
      </c>
      <c r="D126" s="61" t="s">
        <v>79</v>
      </c>
    </row>
    <row r="127">
      <c r="A127" s="63" t="s">
        <v>284</v>
      </c>
      <c r="B127" s="64" t="s">
        <v>276</v>
      </c>
      <c r="C127" s="42" t="s">
        <v>79</v>
      </c>
      <c r="D127" s="61" t="s">
        <v>79</v>
      </c>
    </row>
    <row r="128">
      <c r="A128" s="63" t="s">
        <v>286</v>
      </c>
      <c r="B128" s="64" t="s">
        <v>276</v>
      </c>
      <c r="C128" s="42" t="s">
        <v>79</v>
      </c>
      <c r="D128" s="61" t="s">
        <v>79</v>
      </c>
    </row>
    <row r="129">
      <c r="A129" s="63" t="s">
        <v>287</v>
      </c>
      <c r="B129" s="64" t="s">
        <v>107</v>
      </c>
      <c r="C129" s="42" t="s">
        <v>79</v>
      </c>
      <c r="D129" s="61" t="s">
        <v>79</v>
      </c>
    </row>
    <row r="130">
      <c r="A130" s="63" t="s">
        <v>289</v>
      </c>
      <c r="B130" s="64" t="s">
        <v>107</v>
      </c>
      <c r="C130" s="42" t="s">
        <v>79</v>
      </c>
      <c r="D130" s="61" t="s">
        <v>79</v>
      </c>
    </row>
    <row r="131">
      <c r="A131" s="63" t="s">
        <v>290</v>
      </c>
      <c r="B131" s="64" t="s">
        <v>262</v>
      </c>
      <c r="C131" s="42" t="s">
        <v>79</v>
      </c>
      <c r="D131" s="61" t="s">
        <v>79</v>
      </c>
    </row>
    <row r="132">
      <c r="A132" s="63" t="s">
        <v>292</v>
      </c>
      <c r="B132" s="64" t="s">
        <v>262</v>
      </c>
      <c r="C132" s="42" t="s">
        <v>79</v>
      </c>
      <c r="D132" s="61" t="s">
        <v>79</v>
      </c>
    </row>
    <row r="133">
      <c r="A133" s="63" t="s">
        <v>294</v>
      </c>
      <c r="B133" s="64" t="s">
        <v>262</v>
      </c>
      <c r="C133" s="42" t="s">
        <v>79</v>
      </c>
      <c r="D133" s="61" t="s">
        <v>79</v>
      </c>
    </row>
    <row r="134">
      <c r="A134" s="68" t="s">
        <v>295</v>
      </c>
      <c r="B134" s="57" t="s">
        <v>298</v>
      </c>
      <c r="C134" s="42" t="s">
        <v>79</v>
      </c>
      <c r="D134" s="61" t="s">
        <v>79</v>
      </c>
    </row>
    <row r="135">
      <c r="A135" s="56" t="s">
        <v>302</v>
      </c>
      <c r="B135" s="57" t="s">
        <v>298</v>
      </c>
      <c r="C135" s="42" t="s">
        <v>79</v>
      </c>
      <c r="D135" s="61" t="s">
        <v>79</v>
      </c>
    </row>
    <row r="136">
      <c r="A136" s="56" t="s">
        <v>304</v>
      </c>
      <c r="B136" s="57" t="s">
        <v>298</v>
      </c>
      <c r="C136" s="42" t="s">
        <v>79</v>
      </c>
      <c r="D136" s="61" t="s">
        <v>79</v>
      </c>
    </row>
    <row r="137">
      <c r="A137" s="56" t="s">
        <v>305</v>
      </c>
      <c r="B137" s="57" t="s">
        <v>298</v>
      </c>
      <c r="C137" s="42" t="s">
        <v>79</v>
      </c>
      <c r="D137" s="61" t="s">
        <v>79</v>
      </c>
    </row>
    <row r="138">
      <c r="A138" s="56" t="s">
        <v>307</v>
      </c>
      <c r="B138" s="57" t="s">
        <v>298</v>
      </c>
      <c r="C138" s="42" t="s">
        <v>79</v>
      </c>
      <c r="D138" s="61" t="s">
        <v>79</v>
      </c>
    </row>
    <row r="139">
      <c r="A139" s="56" t="s">
        <v>308</v>
      </c>
      <c r="B139" s="57" t="s">
        <v>298</v>
      </c>
      <c r="C139" s="42" t="s">
        <v>79</v>
      </c>
      <c r="D139" s="61" t="s">
        <v>79</v>
      </c>
    </row>
    <row r="140">
      <c r="A140" s="68" t="s">
        <v>310</v>
      </c>
      <c r="B140" s="57" t="s">
        <v>298</v>
      </c>
      <c r="C140" s="42" t="s">
        <v>79</v>
      </c>
      <c r="D140" s="61" t="s">
        <v>79</v>
      </c>
    </row>
    <row r="141">
      <c r="A141" s="56" t="s">
        <v>311</v>
      </c>
      <c r="B141" s="57" t="s">
        <v>312</v>
      </c>
      <c r="C141" s="42" t="s">
        <v>79</v>
      </c>
      <c r="D141" s="61" t="s">
        <v>79</v>
      </c>
    </row>
    <row r="142">
      <c r="A142" s="56" t="s">
        <v>314</v>
      </c>
      <c r="B142" s="57" t="s">
        <v>312</v>
      </c>
      <c r="C142" s="42" t="s">
        <v>79</v>
      </c>
      <c r="D142" s="61" t="s">
        <v>79</v>
      </c>
    </row>
    <row r="143">
      <c r="A143" s="56" t="s">
        <v>316</v>
      </c>
      <c r="B143" s="57" t="s">
        <v>312</v>
      </c>
      <c r="C143" s="42" t="s">
        <v>79</v>
      </c>
      <c r="D143" s="61" t="s">
        <v>79</v>
      </c>
    </row>
    <row r="144">
      <c r="A144" s="56" t="s">
        <v>318</v>
      </c>
      <c r="B144" s="57" t="s">
        <v>312</v>
      </c>
      <c r="C144" s="42" t="s">
        <v>79</v>
      </c>
      <c r="D144" s="61" t="s">
        <v>79</v>
      </c>
    </row>
    <row r="145">
      <c r="A145" s="56" t="s">
        <v>320</v>
      </c>
      <c r="B145" s="57" t="s">
        <v>312</v>
      </c>
      <c r="C145" s="42" t="s">
        <v>79</v>
      </c>
      <c r="D145" s="61" t="s">
        <v>79</v>
      </c>
    </row>
    <row r="146">
      <c r="A146" s="56" t="s">
        <v>321</v>
      </c>
      <c r="B146" s="57" t="s">
        <v>312</v>
      </c>
      <c r="C146" s="42" t="s">
        <v>79</v>
      </c>
      <c r="D146" s="61" t="s">
        <v>79</v>
      </c>
    </row>
    <row r="147">
      <c r="A147" s="56" t="s">
        <v>323</v>
      </c>
      <c r="B147" s="57" t="s">
        <v>324</v>
      </c>
      <c r="C147" s="42" t="s">
        <v>79</v>
      </c>
      <c r="D147" s="61" t="s">
        <v>79</v>
      </c>
    </row>
    <row r="148">
      <c r="A148" s="56" t="s">
        <v>326</v>
      </c>
      <c r="B148" s="57" t="s">
        <v>324</v>
      </c>
      <c r="C148" s="42" t="s">
        <v>79</v>
      </c>
      <c r="D148" s="61" t="s">
        <v>79</v>
      </c>
    </row>
    <row r="149">
      <c r="A149" s="56" t="s">
        <v>328</v>
      </c>
      <c r="B149" s="57" t="s">
        <v>324</v>
      </c>
      <c r="C149" s="42" t="s">
        <v>79</v>
      </c>
      <c r="D149" s="61" t="s">
        <v>79</v>
      </c>
    </row>
    <row r="150">
      <c r="A150" s="56" t="s">
        <v>330</v>
      </c>
      <c r="B150" s="57" t="s">
        <v>312</v>
      </c>
      <c r="C150" s="42" t="s">
        <v>79</v>
      </c>
      <c r="D150" s="61" t="s">
        <v>79</v>
      </c>
    </row>
    <row r="151">
      <c r="A151" s="56" t="s">
        <v>331</v>
      </c>
      <c r="B151" s="57" t="s">
        <v>312</v>
      </c>
      <c r="C151" s="42" t="s">
        <v>79</v>
      </c>
      <c r="D151" s="61" t="s">
        <v>79</v>
      </c>
    </row>
    <row r="152">
      <c r="A152" s="56" t="s">
        <v>333</v>
      </c>
      <c r="B152" s="57" t="s">
        <v>76</v>
      </c>
      <c r="C152" s="42" t="s">
        <v>79</v>
      </c>
      <c r="D152" s="61" t="s">
        <v>79</v>
      </c>
    </row>
    <row r="153">
      <c r="A153" s="56" t="s">
        <v>335</v>
      </c>
      <c r="B153" s="57" t="s">
        <v>76</v>
      </c>
      <c r="C153" s="42" t="s">
        <v>79</v>
      </c>
      <c r="D153" s="61" t="s">
        <v>79</v>
      </c>
    </row>
    <row r="154">
      <c r="A154" s="56" t="s">
        <v>337</v>
      </c>
      <c r="B154" s="57" t="s">
        <v>76</v>
      </c>
      <c r="C154" s="42" t="s">
        <v>79</v>
      </c>
      <c r="D154" s="61" t="s">
        <v>79</v>
      </c>
    </row>
    <row r="155">
      <c r="A155" s="68" t="s">
        <v>339</v>
      </c>
      <c r="B155" s="57" t="s">
        <v>76</v>
      </c>
      <c r="C155" s="42" t="s">
        <v>79</v>
      </c>
      <c r="D155" s="61" t="s">
        <v>79</v>
      </c>
    </row>
    <row r="156">
      <c r="A156" s="56" t="s">
        <v>341</v>
      </c>
      <c r="B156" s="57" t="s">
        <v>76</v>
      </c>
      <c r="C156" s="42" t="s">
        <v>79</v>
      </c>
      <c r="D156" s="61" t="s">
        <v>79</v>
      </c>
    </row>
    <row r="157">
      <c r="A157" s="56" t="s">
        <v>342</v>
      </c>
      <c r="B157" s="57" t="s">
        <v>76</v>
      </c>
      <c r="C157" s="42" t="s">
        <v>79</v>
      </c>
      <c r="D157" s="61" t="s">
        <v>79</v>
      </c>
    </row>
    <row r="158">
      <c r="A158" s="56" t="s">
        <v>344</v>
      </c>
      <c r="B158" s="57" t="s">
        <v>345</v>
      </c>
      <c r="C158" s="42" t="s">
        <v>79</v>
      </c>
      <c r="D158" s="61" t="s">
        <v>79</v>
      </c>
    </row>
    <row r="159">
      <c r="A159" s="56" t="s">
        <v>347</v>
      </c>
      <c r="B159" s="57" t="s">
        <v>345</v>
      </c>
      <c r="C159" s="42" t="s">
        <v>79</v>
      </c>
      <c r="D159" s="61" t="s">
        <v>79</v>
      </c>
    </row>
    <row r="160">
      <c r="A160" s="56" t="s">
        <v>349</v>
      </c>
      <c r="B160" s="57" t="s">
        <v>345</v>
      </c>
      <c r="C160" s="42" t="s">
        <v>79</v>
      </c>
      <c r="D160" s="61" t="s">
        <v>79</v>
      </c>
    </row>
    <row r="161">
      <c r="A161" s="56" t="s">
        <v>351</v>
      </c>
      <c r="B161" s="57" t="s">
        <v>345</v>
      </c>
      <c r="C161" s="42" t="s">
        <v>79</v>
      </c>
      <c r="D161" s="61" t="s">
        <v>79</v>
      </c>
    </row>
    <row r="162">
      <c r="A162" s="56" t="s">
        <v>353</v>
      </c>
      <c r="B162" s="57" t="s">
        <v>345</v>
      </c>
      <c r="C162" s="42" t="s">
        <v>79</v>
      </c>
      <c r="D162" s="61" t="s">
        <v>79</v>
      </c>
    </row>
    <row r="163">
      <c r="A163" s="56" t="s">
        <v>355</v>
      </c>
      <c r="B163" s="57" t="s">
        <v>345</v>
      </c>
      <c r="C163" s="42" t="s">
        <v>79</v>
      </c>
      <c r="D163" s="61" t="s">
        <v>79</v>
      </c>
    </row>
    <row r="164">
      <c r="A164" s="56" t="s">
        <v>357</v>
      </c>
      <c r="B164" s="57" t="s">
        <v>345</v>
      </c>
      <c r="C164" s="42" t="s">
        <v>79</v>
      </c>
      <c r="D164" s="61" t="s">
        <v>79</v>
      </c>
    </row>
    <row r="165">
      <c r="A165" s="56" t="s">
        <v>358</v>
      </c>
      <c r="B165" s="57" t="s">
        <v>345</v>
      </c>
      <c r="C165" s="42" t="s">
        <v>79</v>
      </c>
      <c r="D165" s="61" t="s">
        <v>79</v>
      </c>
    </row>
    <row r="166">
      <c r="A166" s="56" t="s">
        <v>360</v>
      </c>
      <c r="B166" s="57" t="s">
        <v>345</v>
      </c>
      <c r="C166" s="42" t="s">
        <v>79</v>
      </c>
      <c r="D166" s="61" t="s">
        <v>79</v>
      </c>
    </row>
    <row r="167">
      <c r="A167" s="56" t="s">
        <v>362</v>
      </c>
      <c r="B167" s="57" t="s">
        <v>345</v>
      </c>
      <c r="C167" s="42" t="s">
        <v>79</v>
      </c>
      <c r="D167" s="61" t="s">
        <v>79</v>
      </c>
    </row>
    <row r="168">
      <c r="A168" s="56" t="s">
        <v>364</v>
      </c>
      <c r="B168" s="57" t="s">
        <v>345</v>
      </c>
      <c r="C168" s="42" t="s">
        <v>79</v>
      </c>
      <c r="D168" s="61" t="s">
        <v>79</v>
      </c>
    </row>
    <row r="169">
      <c r="A169" s="56" t="s">
        <v>365</v>
      </c>
      <c r="B169" s="57" t="s">
        <v>345</v>
      </c>
      <c r="C169" s="42" t="s">
        <v>79</v>
      </c>
      <c r="D169" s="61" t="s">
        <v>79</v>
      </c>
    </row>
    <row r="170">
      <c r="A170" s="56" t="s">
        <v>367</v>
      </c>
      <c r="B170" s="57" t="s">
        <v>345</v>
      </c>
      <c r="C170" s="42" t="s">
        <v>79</v>
      </c>
      <c r="D170" s="60"/>
    </row>
    <row r="171">
      <c r="A171" s="56" t="s">
        <v>369</v>
      </c>
      <c r="B171" s="57" t="s">
        <v>345</v>
      </c>
      <c r="C171" s="42" t="s">
        <v>79</v>
      </c>
      <c r="D171" s="61" t="s">
        <v>79</v>
      </c>
    </row>
    <row r="172">
      <c r="A172" s="56" t="s">
        <v>371</v>
      </c>
      <c r="B172" s="57" t="s">
        <v>372</v>
      </c>
      <c r="C172" s="42" t="s">
        <v>79</v>
      </c>
      <c r="D172" s="61" t="s">
        <v>79</v>
      </c>
    </row>
    <row r="173">
      <c r="A173" s="56" t="s">
        <v>373</v>
      </c>
      <c r="B173" s="57" t="s">
        <v>372</v>
      </c>
      <c r="C173" s="42" t="s">
        <v>79</v>
      </c>
      <c r="D173" s="61" t="s">
        <v>79</v>
      </c>
    </row>
    <row r="174">
      <c r="A174" s="56" t="s">
        <v>374</v>
      </c>
      <c r="B174" s="57" t="s">
        <v>372</v>
      </c>
      <c r="C174" s="42" t="s">
        <v>79</v>
      </c>
      <c r="D174" s="61" t="s">
        <v>79</v>
      </c>
    </row>
    <row r="175">
      <c r="A175" s="56" t="s">
        <v>375</v>
      </c>
      <c r="B175" s="57" t="s">
        <v>372</v>
      </c>
      <c r="C175" s="42" t="s">
        <v>79</v>
      </c>
      <c r="D175" s="61" t="s">
        <v>79</v>
      </c>
    </row>
    <row r="176">
      <c r="A176" s="56" t="s">
        <v>376</v>
      </c>
      <c r="B176" s="57" t="s">
        <v>372</v>
      </c>
      <c r="C176" s="42" t="s">
        <v>79</v>
      </c>
      <c r="D176" s="61" t="s">
        <v>79</v>
      </c>
    </row>
    <row r="177">
      <c r="A177" s="56" t="s">
        <v>377</v>
      </c>
      <c r="B177" s="57" t="s">
        <v>309</v>
      </c>
      <c r="C177" s="42" t="s">
        <v>79</v>
      </c>
      <c r="D177" s="61" t="s">
        <v>79</v>
      </c>
    </row>
    <row r="178">
      <c r="A178" s="56" t="s">
        <v>378</v>
      </c>
      <c r="B178" s="57" t="s">
        <v>309</v>
      </c>
      <c r="C178" s="42" t="s">
        <v>79</v>
      </c>
      <c r="D178" s="61" t="s">
        <v>79</v>
      </c>
    </row>
    <row r="179">
      <c r="A179" s="56" t="s">
        <v>380</v>
      </c>
      <c r="B179" s="57" t="s">
        <v>309</v>
      </c>
      <c r="C179" s="42" t="s">
        <v>79</v>
      </c>
      <c r="D179" s="61" t="s">
        <v>79</v>
      </c>
    </row>
    <row r="180">
      <c r="A180" s="56" t="s">
        <v>381</v>
      </c>
      <c r="B180" s="57" t="s">
        <v>309</v>
      </c>
      <c r="C180" s="42" t="s">
        <v>79</v>
      </c>
      <c r="D180" s="61" t="s">
        <v>79</v>
      </c>
    </row>
    <row r="181">
      <c r="A181" s="56" t="s">
        <v>382</v>
      </c>
      <c r="B181" s="57" t="s">
        <v>309</v>
      </c>
      <c r="C181" s="42" t="s">
        <v>79</v>
      </c>
      <c r="D181" s="61" t="s">
        <v>79</v>
      </c>
    </row>
    <row r="182">
      <c r="A182" s="56" t="s">
        <v>383</v>
      </c>
      <c r="B182" s="57" t="s">
        <v>309</v>
      </c>
      <c r="C182" s="42" t="s">
        <v>79</v>
      </c>
      <c r="D182" s="61" t="s">
        <v>79</v>
      </c>
    </row>
    <row r="183">
      <c r="A183" s="56" t="s">
        <v>384</v>
      </c>
      <c r="B183" s="57" t="s">
        <v>385</v>
      </c>
      <c r="C183" s="42" t="s">
        <v>79</v>
      </c>
      <c r="D183" s="61" t="s">
        <v>79</v>
      </c>
    </row>
    <row r="184">
      <c r="A184" s="56" t="s">
        <v>386</v>
      </c>
      <c r="B184" s="57" t="s">
        <v>309</v>
      </c>
      <c r="C184" s="42" t="s">
        <v>79</v>
      </c>
      <c r="D184" s="61" t="s">
        <v>79</v>
      </c>
    </row>
    <row r="185">
      <c r="A185" s="56" t="s">
        <v>387</v>
      </c>
      <c r="B185" s="57" t="s">
        <v>309</v>
      </c>
      <c r="C185" s="42" t="s">
        <v>79</v>
      </c>
      <c r="D185" s="61" t="s">
        <v>79</v>
      </c>
    </row>
    <row r="186">
      <c r="A186" s="56" t="s">
        <v>389</v>
      </c>
      <c r="B186" s="57" t="s">
        <v>309</v>
      </c>
      <c r="C186" s="42" t="s">
        <v>79</v>
      </c>
      <c r="D186" s="61" t="s">
        <v>79</v>
      </c>
    </row>
    <row r="187">
      <c r="A187" s="56" t="s">
        <v>390</v>
      </c>
      <c r="B187" s="57" t="s">
        <v>309</v>
      </c>
      <c r="C187" s="42" t="s">
        <v>79</v>
      </c>
      <c r="D187" s="61" t="s">
        <v>79</v>
      </c>
    </row>
    <row r="188">
      <c r="A188" s="56" t="s">
        <v>157</v>
      </c>
      <c r="B188" s="57" t="s">
        <v>309</v>
      </c>
      <c r="C188" s="42" t="s">
        <v>79</v>
      </c>
      <c r="D188" s="61" t="s">
        <v>79</v>
      </c>
    </row>
    <row r="189">
      <c r="A189" s="56" t="s">
        <v>391</v>
      </c>
      <c r="B189" s="57" t="s">
        <v>306</v>
      </c>
      <c r="C189" s="42" t="s">
        <v>79</v>
      </c>
      <c r="D189" s="61" t="s">
        <v>79</v>
      </c>
    </row>
    <row r="190">
      <c r="A190" s="56" t="s">
        <v>393</v>
      </c>
      <c r="B190" s="57" t="s">
        <v>306</v>
      </c>
      <c r="C190" s="42" t="s">
        <v>79</v>
      </c>
      <c r="D190" s="61" t="s">
        <v>79</v>
      </c>
    </row>
    <row r="191">
      <c r="A191" s="56" t="s">
        <v>394</v>
      </c>
      <c r="B191" s="57" t="s">
        <v>306</v>
      </c>
      <c r="C191" s="42" t="s">
        <v>79</v>
      </c>
      <c r="D191" s="61" t="s">
        <v>79</v>
      </c>
    </row>
    <row r="192">
      <c r="A192" s="56" t="s">
        <v>396</v>
      </c>
      <c r="B192" s="57" t="s">
        <v>306</v>
      </c>
      <c r="C192" s="42" t="s">
        <v>79</v>
      </c>
      <c r="D192" s="61" t="s">
        <v>79</v>
      </c>
    </row>
    <row r="193">
      <c r="A193" s="56" t="s">
        <v>397</v>
      </c>
      <c r="B193" s="57" t="s">
        <v>306</v>
      </c>
      <c r="C193" s="42" t="s">
        <v>79</v>
      </c>
      <c r="D193" s="61" t="s">
        <v>79</v>
      </c>
    </row>
    <row r="194">
      <c r="A194" s="56" t="s">
        <v>399</v>
      </c>
      <c r="B194" s="57" t="s">
        <v>306</v>
      </c>
      <c r="C194" s="42" t="s">
        <v>79</v>
      </c>
      <c r="D194" s="61" t="s">
        <v>79</v>
      </c>
    </row>
    <row r="195">
      <c r="A195" s="56" t="s">
        <v>400</v>
      </c>
      <c r="B195" s="57" t="s">
        <v>306</v>
      </c>
      <c r="C195" s="42" t="s">
        <v>79</v>
      </c>
      <c r="D195" s="61" t="s">
        <v>79</v>
      </c>
    </row>
    <row r="196">
      <c r="A196" s="56" t="s">
        <v>402</v>
      </c>
      <c r="B196" s="57" t="s">
        <v>306</v>
      </c>
      <c r="C196" s="42" t="s">
        <v>79</v>
      </c>
      <c r="D196" s="61" t="s">
        <v>79</v>
      </c>
    </row>
    <row r="197">
      <c r="A197" s="56" t="s">
        <v>403</v>
      </c>
      <c r="B197" s="57" t="s">
        <v>306</v>
      </c>
      <c r="C197" s="42" t="s">
        <v>79</v>
      </c>
      <c r="D197" s="61" t="s">
        <v>79</v>
      </c>
    </row>
    <row r="198">
      <c r="A198" s="56" t="s">
        <v>405</v>
      </c>
      <c r="B198" s="57" t="s">
        <v>306</v>
      </c>
      <c r="C198" s="42" t="s">
        <v>79</v>
      </c>
      <c r="D198" s="61" t="s">
        <v>79</v>
      </c>
    </row>
    <row r="199">
      <c r="A199" s="56" t="s">
        <v>406</v>
      </c>
      <c r="B199" s="57" t="s">
        <v>306</v>
      </c>
      <c r="C199" s="42" t="s">
        <v>79</v>
      </c>
      <c r="D199" s="61" t="s">
        <v>79</v>
      </c>
    </row>
    <row r="200">
      <c r="A200" s="56" t="s">
        <v>408</v>
      </c>
      <c r="B200" s="57" t="s">
        <v>182</v>
      </c>
      <c r="C200" s="42" t="s">
        <v>79</v>
      </c>
      <c r="D200" s="61" t="s">
        <v>79</v>
      </c>
    </row>
    <row r="201">
      <c r="A201" s="68" t="s">
        <v>410</v>
      </c>
      <c r="B201" s="57" t="s">
        <v>182</v>
      </c>
      <c r="C201" s="42" t="s">
        <v>79</v>
      </c>
      <c r="D201" s="61" t="s">
        <v>79</v>
      </c>
    </row>
    <row r="202">
      <c r="A202" s="56" t="s">
        <v>411</v>
      </c>
      <c r="B202" s="57" t="s">
        <v>182</v>
      </c>
      <c r="C202" s="42" t="s">
        <v>79</v>
      </c>
      <c r="D202" s="61" t="s">
        <v>79</v>
      </c>
    </row>
    <row r="203">
      <c r="A203" s="56" t="s">
        <v>413</v>
      </c>
      <c r="B203" s="57" t="s">
        <v>182</v>
      </c>
      <c r="C203" s="42" t="s">
        <v>79</v>
      </c>
      <c r="D203" s="61" t="s">
        <v>79</v>
      </c>
    </row>
    <row r="204">
      <c r="A204" s="56" t="s">
        <v>414</v>
      </c>
      <c r="B204" s="57" t="s">
        <v>182</v>
      </c>
      <c r="C204" s="42" t="s">
        <v>79</v>
      </c>
      <c r="D204" s="61" t="s">
        <v>79</v>
      </c>
    </row>
    <row r="205">
      <c r="A205" s="56" t="s">
        <v>416</v>
      </c>
      <c r="B205" s="57" t="s">
        <v>182</v>
      </c>
      <c r="C205" s="42" t="s">
        <v>79</v>
      </c>
      <c r="D205" s="61" t="s">
        <v>79</v>
      </c>
    </row>
    <row r="206">
      <c r="A206" s="56" t="s">
        <v>417</v>
      </c>
      <c r="B206" s="57" t="s">
        <v>182</v>
      </c>
      <c r="C206" s="42" t="s">
        <v>79</v>
      </c>
      <c r="D206" s="61" t="s">
        <v>79</v>
      </c>
    </row>
    <row r="207">
      <c r="A207" s="56" t="s">
        <v>419</v>
      </c>
      <c r="B207" s="57" t="s">
        <v>182</v>
      </c>
      <c r="C207" s="42" t="s">
        <v>79</v>
      </c>
      <c r="D207" s="61" t="s">
        <v>79</v>
      </c>
    </row>
    <row r="208">
      <c r="A208" s="68" t="s">
        <v>420</v>
      </c>
      <c r="B208" s="57" t="s">
        <v>182</v>
      </c>
      <c r="C208" s="42" t="s">
        <v>79</v>
      </c>
      <c r="D208" s="61" t="s">
        <v>79</v>
      </c>
    </row>
    <row r="209">
      <c r="A209" s="56" t="s">
        <v>422</v>
      </c>
      <c r="B209" s="57" t="s">
        <v>182</v>
      </c>
      <c r="C209" s="42" t="s">
        <v>79</v>
      </c>
      <c r="D209" s="61" t="s">
        <v>79</v>
      </c>
    </row>
    <row r="210">
      <c r="A210" s="56" t="s">
        <v>423</v>
      </c>
      <c r="B210" s="57" t="s">
        <v>182</v>
      </c>
      <c r="C210" s="42" t="s">
        <v>79</v>
      </c>
      <c r="D210" s="61" t="s">
        <v>79</v>
      </c>
    </row>
    <row r="211">
      <c r="A211" s="56" t="s">
        <v>425</v>
      </c>
      <c r="B211" s="57" t="s">
        <v>182</v>
      </c>
      <c r="C211" s="42" t="s">
        <v>79</v>
      </c>
      <c r="D211" s="61" t="s">
        <v>79</v>
      </c>
    </row>
    <row r="212">
      <c r="A212" s="56" t="s">
        <v>426</v>
      </c>
      <c r="B212" s="57" t="s">
        <v>182</v>
      </c>
      <c r="C212" s="42" t="s">
        <v>79</v>
      </c>
      <c r="D212" s="61" t="s">
        <v>79</v>
      </c>
    </row>
    <row r="213">
      <c r="A213" s="56" t="s">
        <v>428</v>
      </c>
      <c r="B213" s="57" t="s">
        <v>182</v>
      </c>
      <c r="C213" s="42" t="s">
        <v>79</v>
      </c>
      <c r="D213" s="61" t="s">
        <v>79</v>
      </c>
    </row>
    <row r="214">
      <c r="A214" s="56" t="s">
        <v>429</v>
      </c>
      <c r="B214" s="57" t="s">
        <v>182</v>
      </c>
      <c r="C214" s="42" t="s">
        <v>79</v>
      </c>
      <c r="D214" s="61" t="s">
        <v>79</v>
      </c>
    </row>
    <row r="215">
      <c r="A215" s="56" t="s">
        <v>431</v>
      </c>
      <c r="B215" s="57" t="s">
        <v>182</v>
      </c>
      <c r="C215" s="42" t="s">
        <v>79</v>
      </c>
      <c r="D215" s="61" t="s">
        <v>79</v>
      </c>
    </row>
    <row r="216">
      <c r="A216" s="56" t="s">
        <v>432</v>
      </c>
      <c r="B216" s="57" t="s">
        <v>182</v>
      </c>
      <c r="C216" s="42" t="s">
        <v>79</v>
      </c>
      <c r="D216" s="61" t="s">
        <v>79</v>
      </c>
    </row>
    <row r="217">
      <c r="A217" s="56" t="s">
        <v>434</v>
      </c>
      <c r="B217" s="57" t="s">
        <v>182</v>
      </c>
      <c r="C217" s="42" t="s">
        <v>79</v>
      </c>
      <c r="D217" s="61" t="s">
        <v>79</v>
      </c>
    </row>
    <row r="218">
      <c r="A218" s="56" t="s">
        <v>435</v>
      </c>
      <c r="B218" s="57" t="s">
        <v>182</v>
      </c>
      <c r="C218" s="42" t="s">
        <v>79</v>
      </c>
      <c r="D218" s="60"/>
    </row>
    <row r="219">
      <c r="A219" s="56" t="s">
        <v>437</v>
      </c>
      <c r="B219" s="70" t="s">
        <v>438</v>
      </c>
      <c r="C219" s="42" t="s">
        <v>79</v>
      </c>
      <c r="D219" s="61" t="s">
        <v>79</v>
      </c>
    </row>
    <row r="220">
      <c r="A220" s="56" t="s">
        <v>439</v>
      </c>
      <c r="B220" s="70" t="s">
        <v>438</v>
      </c>
      <c r="C220" s="42" t="s">
        <v>79</v>
      </c>
      <c r="D220" s="61" t="s">
        <v>79</v>
      </c>
    </row>
    <row r="221">
      <c r="A221" s="56" t="s">
        <v>440</v>
      </c>
      <c r="B221" s="70" t="s">
        <v>438</v>
      </c>
      <c r="C221" s="42" t="s">
        <v>79</v>
      </c>
      <c r="D221" s="60"/>
    </row>
    <row r="222">
      <c r="A222" s="56" t="s">
        <v>442</v>
      </c>
      <c r="B222" s="70" t="s">
        <v>438</v>
      </c>
      <c r="C222" s="42" t="s">
        <v>79</v>
      </c>
      <c r="D222" s="61" t="s">
        <v>79</v>
      </c>
    </row>
    <row r="223">
      <c r="A223" s="56" t="s">
        <v>443</v>
      </c>
      <c r="B223" s="70" t="s">
        <v>438</v>
      </c>
      <c r="C223" s="42" t="s">
        <v>79</v>
      </c>
      <c r="D223" s="61" t="s">
        <v>79</v>
      </c>
    </row>
    <row r="224">
      <c r="A224" s="56" t="s">
        <v>445</v>
      </c>
      <c r="B224" s="70" t="s">
        <v>438</v>
      </c>
      <c r="C224" s="42" t="s">
        <v>79</v>
      </c>
      <c r="D224" s="61" t="s">
        <v>79</v>
      </c>
    </row>
    <row r="225">
      <c r="A225" s="56" t="s">
        <v>446</v>
      </c>
      <c r="B225" s="70" t="s">
        <v>438</v>
      </c>
      <c r="C225" s="42" t="s">
        <v>79</v>
      </c>
      <c r="D225" s="61" t="s">
        <v>79</v>
      </c>
    </row>
    <row r="226">
      <c r="A226" s="56" t="s">
        <v>448</v>
      </c>
      <c r="B226" s="70" t="s">
        <v>438</v>
      </c>
      <c r="C226" s="42" t="s">
        <v>79</v>
      </c>
      <c r="D226" s="61" t="s">
        <v>79</v>
      </c>
    </row>
    <row r="227">
      <c r="A227" s="56" t="s">
        <v>450</v>
      </c>
      <c r="B227" s="70" t="s">
        <v>438</v>
      </c>
      <c r="C227" s="42" t="s">
        <v>79</v>
      </c>
      <c r="D227" s="61" t="s">
        <v>79</v>
      </c>
    </row>
    <row r="228">
      <c r="A228" s="68" t="s">
        <v>451</v>
      </c>
      <c r="B228" s="70" t="s">
        <v>438</v>
      </c>
      <c r="C228" s="42" t="s">
        <v>79</v>
      </c>
      <c r="D228" s="61" t="s">
        <v>79</v>
      </c>
    </row>
    <row r="229">
      <c r="A229" s="56" t="s">
        <v>453</v>
      </c>
      <c r="B229" s="70" t="s">
        <v>438</v>
      </c>
      <c r="C229" s="42" t="s">
        <v>79</v>
      </c>
      <c r="D229" s="61" t="s">
        <v>79</v>
      </c>
    </row>
    <row r="230">
      <c r="A230" s="56" t="s">
        <v>455</v>
      </c>
      <c r="B230" s="70" t="s">
        <v>438</v>
      </c>
      <c r="C230" s="42" t="s">
        <v>79</v>
      </c>
      <c r="D230" s="61" t="s">
        <v>79</v>
      </c>
    </row>
    <row r="231">
      <c r="A231" s="56" t="s">
        <v>456</v>
      </c>
      <c r="B231" s="70" t="s">
        <v>438</v>
      </c>
      <c r="C231" s="42" t="s">
        <v>79</v>
      </c>
      <c r="D231" s="61" t="s">
        <v>79</v>
      </c>
    </row>
    <row r="232">
      <c r="A232" s="56" t="s">
        <v>458</v>
      </c>
      <c r="B232" s="70" t="s">
        <v>438</v>
      </c>
      <c r="C232" s="42" t="s">
        <v>79</v>
      </c>
      <c r="D232" s="61" t="s">
        <v>79</v>
      </c>
    </row>
    <row r="233">
      <c r="A233" s="56" t="s">
        <v>459</v>
      </c>
      <c r="B233" s="70" t="s">
        <v>438</v>
      </c>
      <c r="C233" s="42" t="s">
        <v>79</v>
      </c>
      <c r="D233" s="61" t="s">
        <v>79</v>
      </c>
    </row>
    <row r="234">
      <c r="A234" s="56" t="s">
        <v>460</v>
      </c>
      <c r="B234" s="70" t="s">
        <v>438</v>
      </c>
      <c r="C234" s="42" t="s">
        <v>79</v>
      </c>
      <c r="D234" s="61" t="s">
        <v>79</v>
      </c>
    </row>
    <row r="235">
      <c r="A235" s="56" t="s">
        <v>461</v>
      </c>
      <c r="B235" s="70" t="s">
        <v>438</v>
      </c>
      <c r="C235" s="42" t="s">
        <v>79</v>
      </c>
      <c r="D235" s="61" t="s">
        <v>79</v>
      </c>
    </row>
    <row r="236">
      <c r="A236" s="56" t="s">
        <v>462</v>
      </c>
      <c r="B236" s="70" t="s">
        <v>438</v>
      </c>
      <c r="C236" s="42" t="s">
        <v>79</v>
      </c>
      <c r="D236" s="61" t="s">
        <v>79</v>
      </c>
    </row>
    <row r="237">
      <c r="A237" s="56" t="s">
        <v>463</v>
      </c>
      <c r="B237" s="70" t="s">
        <v>438</v>
      </c>
      <c r="C237" s="42" t="s">
        <v>79</v>
      </c>
      <c r="D237" s="61" t="s">
        <v>79</v>
      </c>
    </row>
    <row r="238">
      <c r="A238" s="56" t="s">
        <v>464</v>
      </c>
      <c r="B238" s="70" t="s">
        <v>438</v>
      </c>
      <c r="C238" s="42" t="s">
        <v>79</v>
      </c>
      <c r="D238" s="60"/>
    </row>
    <row r="239">
      <c r="A239" s="56" t="s">
        <v>465</v>
      </c>
      <c r="B239" s="57" t="s">
        <v>219</v>
      </c>
      <c r="C239" s="42" t="s">
        <v>79</v>
      </c>
      <c r="D239" s="61" t="s">
        <v>79</v>
      </c>
    </row>
    <row r="240">
      <c r="A240" s="56" t="s">
        <v>466</v>
      </c>
      <c r="B240" s="57" t="s">
        <v>219</v>
      </c>
      <c r="C240" s="42" t="s">
        <v>79</v>
      </c>
      <c r="D240" s="61" t="s">
        <v>79</v>
      </c>
    </row>
    <row r="241">
      <c r="A241" s="56" t="s">
        <v>467</v>
      </c>
      <c r="B241" s="57" t="s">
        <v>219</v>
      </c>
      <c r="C241" s="42" t="s">
        <v>79</v>
      </c>
      <c r="D241" s="61" t="s">
        <v>79</v>
      </c>
    </row>
    <row r="242">
      <c r="A242" s="56" t="s">
        <v>468</v>
      </c>
      <c r="B242" s="57" t="s">
        <v>219</v>
      </c>
      <c r="C242" s="42" t="s">
        <v>79</v>
      </c>
      <c r="D242" s="61" t="s">
        <v>79</v>
      </c>
    </row>
    <row r="243">
      <c r="A243" s="56" t="s">
        <v>469</v>
      </c>
      <c r="B243" s="57" t="s">
        <v>219</v>
      </c>
      <c r="C243" s="42" t="s">
        <v>79</v>
      </c>
      <c r="D243" s="61" t="s">
        <v>79</v>
      </c>
    </row>
    <row r="244">
      <c r="A244" s="56" t="s">
        <v>470</v>
      </c>
      <c r="B244" s="57" t="s">
        <v>219</v>
      </c>
      <c r="C244" s="42" t="s">
        <v>79</v>
      </c>
      <c r="D244" s="61" t="s">
        <v>79</v>
      </c>
    </row>
    <row r="245">
      <c r="A245" s="56" t="s">
        <v>471</v>
      </c>
      <c r="B245" s="57" t="s">
        <v>219</v>
      </c>
      <c r="C245" s="42" t="s">
        <v>79</v>
      </c>
      <c r="D245" s="61" t="s">
        <v>79</v>
      </c>
    </row>
    <row r="246">
      <c r="A246" s="56" t="s">
        <v>472</v>
      </c>
      <c r="B246" s="57" t="s">
        <v>219</v>
      </c>
      <c r="C246" s="42" t="s">
        <v>79</v>
      </c>
      <c r="D246" s="61" t="s">
        <v>79</v>
      </c>
    </row>
    <row r="247">
      <c r="A247" s="56" t="s">
        <v>473</v>
      </c>
      <c r="B247" s="57" t="s">
        <v>219</v>
      </c>
      <c r="C247" s="42" t="s">
        <v>79</v>
      </c>
      <c r="D247" s="61" t="s">
        <v>79</v>
      </c>
    </row>
    <row r="248">
      <c r="A248" s="56" t="s">
        <v>474</v>
      </c>
      <c r="B248" s="57" t="s">
        <v>219</v>
      </c>
      <c r="C248" s="42" t="s">
        <v>79</v>
      </c>
      <c r="D248" s="61" t="s">
        <v>79</v>
      </c>
    </row>
    <row r="249">
      <c r="A249" s="56" t="s">
        <v>475</v>
      </c>
      <c r="B249" s="57" t="s">
        <v>219</v>
      </c>
      <c r="C249" s="42" t="s">
        <v>79</v>
      </c>
      <c r="D249" s="61" t="s">
        <v>79</v>
      </c>
    </row>
    <row r="250">
      <c r="A250" s="56" t="s">
        <v>476</v>
      </c>
      <c r="B250" s="57" t="s">
        <v>219</v>
      </c>
      <c r="C250" s="42" t="s">
        <v>79</v>
      </c>
      <c r="D250" s="61" t="s">
        <v>79</v>
      </c>
    </row>
    <row r="251">
      <c r="A251" s="56" t="s">
        <v>477</v>
      </c>
      <c r="B251" s="57" t="s">
        <v>219</v>
      </c>
      <c r="C251" s="42" t="s">
        <v>79</v>
      </c>
      <c r="D251" s="61" t="s">
        <v>79</v>
      </c>
    </row>
    <row r="252">
      <c r="A252" s="56" t="s">
        <v>478</v>
      </c>
      <c r="B252" s="57" t="s">
        <v>219</v>
      </c>
      <c r="C252" s="42" t="s">
        <v>79</v>
      </c>
      <c r="D252" s="61" t="s">
        <v>79</v>
      </c>
    </row>
    <row r="253">
      <c r="A253" s="56" t="s">
        <v>479</v>
      </c>
      <c r="B253" s="57" t="s">
        <v>219</v>
      </c>
      <c r="C253" s="42" t="s">
        <v>79</v>
      </c>
      <c r="D253" s="61" t="s">
        <v>79</v>
      </c>
    </row>
    <row r="254">
      <c r="A254" s="56" t="s">
        <v>480</v>
      </c>
      <c r="B254" s="57" t="s">
        <v>219</v>
      </c>
      <c r="C254" s="42" t="s">
        <v>79</v>
      </c>
      <c r="D254" s="61" t="s">
        <v>79</v>
      </c>
    </row>
    <row r="255">
      <c r="A255" s="56" t="s">
        <v>481</v>
      </c>
      <c r="B255" s="57" t="s">
        <v>219</v>
      </c>
      <c r="C255" s="42" t="s">
        <v>79</v>
      </c>
      <c r="D255" s="61" t="s">
        <v>79</v>
      </c>
    </row>
    <row r="256">
      <c r="A256" s="56" t="s">
        <v>482</v>
      </c>
      <c r="B256" s="57" t="s">
        <v>219</v>
      </c>
      <c r="C256" s="42" t="s">
        <v>79</v>
      </c>
      <c r="D256" s="61" t="s">
        <v>79</v>
      </c>
    </row>
    <row r="257">
      <c r="A257" s="56" t="s">
        <v>483</v>
      </c>
      <c r="B257" s="57" t="s">
        <v>219</v>
      </c>
      <c r="C257" s="42" t="s">
        <v>79</v>
      </c>
      <c r="D257" s="61" t="s">
        <v>79</v>
      </c>
    </row>
    <row r="258">
      <c r="A258" s="56" t="s">
        <v>484</v>
      </c>
      <c r="B258" s="57" t="s">
        <v>219</v>
      </c>
      <c r="C258" s="42" t="s">
        <v>79</v>
      </c>
      <c r="D258" s="61" t="s">
        <v>79</v>
      </c>
    </row>
    <row r="259">
      <c r="A259" s="56" t="s">
        <v>485</v>
      </c>
      <c r="B259" s="57" t="s">
        <v>219</v>
      </c>
      <c r="C259" s="42" t="s">
        <v>79</v>
      </c>
      <c r="D259" s="60"/>
    </row>
    <row r="260">
      <c r="A260" s="56" t="s">
        <v>486</v>
      </c>
      <c r="B260" s="57" t="s">
        <v>219</v>
      </c>
      <c r="C260" s="42" t="s">
        <v>79</v>
      </c>
      <c r="D260" s="61" t="s">
        <v>79</v>
      </c>
    </row>
    <row r="261">
      <c r="A261" s="56" t="s">
        <v>487</v>
      </c>
      <c r="B261" s="57" t="s">
        <v>219</v>
      </c>
      <c r="C261" s="42" t="s">
        <v>79</v>
      </c>
      <c r="D261" s="61" t="s">
        <v>79</v>
      </c>
    </row>
    <row r="262">
      <c r="A262" s="56" t="s">
        <v>488</v>
      </c>
      <c r="B262" s="57" t="s">
        <v>219</v>
      </c>
      <c r="C262" s="42" t="s">
        <v>79</v>
      </c>
      <c r="D262" s="61" t="s">
        <v>79</v>
      </c>
    </row>
    <row r="263">
      <c r="A263" s="56" t="s">
        <v>489</v>
      </c>
      <c r="B263" s="57" t="s">
        <v>303</v>
      </c>
      <c r="C263" s="42" t="s">
        <v>79</v>
      </c>
      <c r="D263" s="61" t="s">
        <v>79</v>
      </c>
    </row>
    <row r="264">
      <c r="A264" s="56" t="s">
        <v>490</v>
      </c>
      <c r="B264" s="57" t="s">
        <v>303</v>
      </c>
      <c r="C264" s="42" t="s">
        <v>79</v>
      </c>
      <c r="D264" s="61" t="s">
        <v>79</v>
      </c>
    </row>
    <row r="265">
      <c r="A265" s="56" t="s">
        <v>491</v>
      </c>
      <c r="B265" s="57" t="s">
        <v>303</v>
      </c>
      <c r="C265" s="42" t="s">
        <v>79</v>
      </c>
      <c r="D265" s="61" t="s">
        <v>79</v>
      </c>
    </row>
    <row r="266">
      <c r="A266" s="56" t="s">
        <v>492</v>
      </c>
      <c r="B266" s="57" t="s">
        <v>303</v>
      </c>
      <c r="C266" s="42" t="s">
        <v>79</v>
      </c>
      <c r="D266" s="61" t="s">
        <v>79</v>
      </c>
    </row>
    <row r="267">
      <c r="A267" s="56" t="s">
        <v>493</v>
      </c>
      <c r="B267" s="57" t="s">
        <v>303</v>
      </c>
      <c r="C267" s="42" t="s">
        <v>79</v>
      </c>
      <c r="D267" s="61" t="s">
        <v>79</v>
      </c>
    </row>
    <row r="268">
      <c r="A268" s="56" t="s">
        <v>494</v>
      </c>
      <c r="B268" s="57" t="s">
        <v>303</v>
      </c>
      <c r="C268" s="42" t="s">
        <v>79</v>
      </c>
      <c r="D268" s="61" t="s">
        <v>79</v>
      </c>
    </row>
    <row r="269">
      <c r="A269" s="56" t="s">
        <v>495</v>
      </c>
      <c r="B269" s="57" t="s">
        <v>303</v>
      </c>
      <c r="C269" s="42" t="s">
        <v>79</v>
      </c>
      <c r="D269" s="61" t="s">
        <v>79</v>
      </c>
    </row>
    <row r="270">
      <c r="A270" s="56" t="s">
        <v>496</v>
      </c>
      <c r="B270" s="57" t="s">
        <v>303</v>
      </c>
      <c r="C270" s="42" t="s">
        <v>79</v>
      </c>
      <c r="D270" s="61" t="s">
        <v>79</v>
      </c>
    </row>
    <row r="271">
      <c r="A271" s="56" t="s">
        <v>497</v>
      </c>
      <c r="B271" s="57" t="s">
        <v>303</v>
      </c>
      <c r="C271" s="42" t="s">
        <v>79</v>
      </c>
      <c r="D271" s="61" t="s">
        <v>79</v>
      </c>
    </row>
    <row r="272">
      <c r="A272" s="56" t="s">
        <v>498</v>
      </c>
      <c r="B272" s="57" t="s">
        <v>303</v>
      </c>
      <c r="C272" s="42" t="s">
        <v>79</v>
      </c>
      <c r="D272" s="61" t="s">
        <v>79</v>
      </c>
    </row>
    <row r="273">
      <c r="A273" s="56"/>
      <c r="B273" s="57"/>
      <c r="C273" s="42" t="s">
        <v>79</v>
      </c>
      <c r="D273" s="60"/>
    </row>
    <row r="274">
      <c r="A274" s="56" t="s">
        <v>499</v>
      </c>
      <c r="B274" s="57" t="s">
        <v>136</v>
      </c>
      <c r="C274" s="42" t="s">
        <v>79</v>
      </c>
      <c r="D274" s="60"/>
    </row>
    <row r="275">
      <c r="A275" s="56" t="s">
        <v>500</v>
      </c>
      <c r="B275" s="57" t="s">
        <v>136</v>
      </c>
      <c r="C275" s="42" t="s">
        <v>79</v>
      </c>
      <c r="D275" s="60"/>
    </row>
    <row r="276">
      <c r="A276" s="56" t="s">
        <v>501</v>
      </c>
      <c r="B276" s="57" t="s">
        <v>136</v>
      </c>
      <c r="C276" s="42" t="s">
        <v>79</v>
      </c>
      <c r="D276" s="60"/>
    </row>
    <row r="277">
      <c r="A277" s="56" t="s">
        <v>502</v>
      </c>
      <c r="B277" s="57" t="s">
        <v>136</v>
      </c>
      <c r="C277" s="42" t="s">
        <v>79</v>
      </c>
      <c r="D277" s="60"/>
    </row>
    <row r="278">
      <c r="A278" s="56" t="s">
        <v>503</v>
      </c>
      <c r="B278" s="57" t="s">
        <v>136</v>
      </c>
      <c r="C278" s="42" t="s">
        <v>79</v>
      </c>
      <c r="D278" s="60"/>
    </row>
    <row r="279">
      <c r="A279" s="56" t="s">
        <v>504</v>
      </c>
      <c r="B279" s="57" t="s">
        <v>107</v>
      </c>
      <c r="C279" s="42" t="s">
        <v>79</v>
      </c>
      <c r="D279" s="60"/>
    </row>
    <row r="280">
      <c r="A280" s="56" t="s">
        <v>505</v>
      </c>
      <c r="B280" s="57" t="s">
        <v>107</v>
      </c>
      <c r="C280" s="42" t="s">
        <v>79</v>
      </c>
      <c r="D280" s="60"/>
    </row>
    <row r="281">
      <c r="A281" s="56" t="s">
        <v>506</v>
      </c>
      <c r="B281" s="57" t="s">
        <v>107</v>
      </c>
      <c r="C281" s="42" t="s">
        <v>79</v>
      </c>
      <c r="D281" s="60"/>
    </row>
    <row r="282">
      <c r="A282" s="56" t="s">
        <v>507</v>
      </c>
      <c r="B282" s="57" t="s">
        <v>107</v>
      </c>
      <c r="C282" s="42" t="s">
        <v>79</v>
      </c>
      <c r="D282" s="60"/>
    </row>
    <row r="283">
      <c r="A283" s="56" t="s">
        <v>508</v>
      </c>
      <c r="B283" s="57" t="s">
        <v>107</v>
      </c>
      <c r="C283" s="42" t="s">
        <v>79</v>
      </c>
      <c r="D283" s="60"/>
    </row>
    <row r="284">
      <c r="A284" s="56" t="s">
        <v>509</v>
      </c>
      <c r="B284" s="57" t="s">
        <v>107</v>
      </c>
      <c r="C284" s="42" t="s">
        <v>79</v>
      </c>
      <c r="D284" s="60"/>
    </row>
    <row r="285">
      <c r="A285" s="56" t="s">
        <v>510</v>
      </c>
      <c r="B285" s="57" t="s">
        <v>107</v>
      </c>
      <c r="C285" s="42" t="s">
        <v>79</v>
      </c>
      <c r="D285" s="60"/>
    </row>
    <row r="286">
      <c r="A286" s="56" t="s">
        <v>511</v>
      </c>
      <c r="B286" s="57" t="s">
        <v>107</v>
      </c>
      <c r="C286" s="42" t="s">
        <v>79</v>
      </c>
      <c r="D286" s="60"/>
    </row>
    <row r="287">
      <c r="A287" s="56" t="s">
        <v>512</v>
      </c>
      <c r="B287" s="57" t="s">
        <v>107</v>
      </c>
      <c r="C287" s="42" t="s">
        <v>79</v>
      </c>
      <c r="D287" s="60"/>
    </row>
    <row r="288">
      <c r="A288" s="56" t="s">
        <v>513</v>
      </c>
      <c r="B288" s="57" t="s">
        <v>319</v>
      </c>
      <c r="C288" s="42" t="s">
        <v>79</v>
      </c>
      <c r="D288" s="60"/>
    </row>
    <row r="289">
      <c r="A289" s="56" t="s">
        <v>514</v>
      </c>
      <c r="B289" s="57" t="s">
        <v>319</v>
      </c>
      <c r="C289" s="42" t="s">
        <v>79</v>
      </c>
      <c r="D289" s="60"/>
    </row>
    <row r="290">
      <c r="A290" s="56" t="s">
        <v>515</v>
      </c>
      <c r="B290" s="57" t="s">
        <v>319</v>
      </c>
      <c r="C290" s="42" t="s">
        <v>79</v>
      </c>
      <c r="D290" s="60"/>
    </row>
    <row r="291">
      <c r="A291" s="56" t="s">
        <v>516</v>
      </c>
      <c r="B291" s="57" t="s">
        <v>319</v>
      </c>
      <c r="C291" s="42" t="s">
        <v>79</v>
      </c>
      <c r="D291" s="60"/>
    </row>
    <row r="292">
      <c r="A292" s="56" t="s">
        <v>517</v>
      </c>
      <c r="B292" s="57" t="s">
        <v>319</v>
      </c>
      <c r="C292" s="42" t="s">
        <v>79</v>
      </c>
      <c r="D292" s="60"/>
    </row>
    <row r="293">
      <c r="A293" s="56" t="s">
        <v>518</v>
      </c>
      <c r="B293" s="57" t="s">
        <v>134</v>
      </c>
      <c r="C293" s="42" t="s">
        <v>79</v>
      </c>
      <c r="D293" s="60"/>
    </row>
    <row r="294">
      <c r="A294" s="56" t="s">
        <v>519</v>
      </c>
      <c r="B294" s="57" t="s">
        <v>134</v>
      </c>
      <c r="C294" s="42" t="s">
        <v>79</v>
      </c>
      <c r="D294" s="60"/>
    </row>
    <row r="295">
      <c r="A295" s="56" t="s">
        <v>520</v>
      </c>
      <c r="B295" s="57" t="s">
        <v>134</v>
      </c>
      <c r="C295" s="42" t="s">
        <v>79</v>
      </c>
      <c r="D295" s="60"/>
    </row>
    <row r="296">
      <c r="A296" s="56" t="s">
        <v>521</v>
      </c>
      <c r="B296" s="57" t="s">
        <v>134</v>
      </c>
      <c r="C296" s="42" t="s">
        <v>79</v>
      </c>
      <c r="D296" s="60"/>
    </row>
    <row r="297">
      <c r="A297" s="56" t="s">
        <v>522</v>
      </c>
      <c r="B297" s="57" t="s">
        <v>134</v>
      </c>
      <c r="C297" s="42" t="s">
        <v>79</v>
      </c>
      <c r="D297" s="60"/>
    </row>
    <row r="298">
      <c r="A298" s="56" t="s">
        <v>523</v>
      </c>
      <c r="B298" s="57" t="s">
        <v>134</v>
      </c>
      <c r="C298" s="42" t="s">
        <v>79</v>
      </c>
      <c r="D298" s="60"/>
    </row>
    <row r="299">
      <c r="A299" s="56" t="s">
        <v>524</v>
      </c>
      <c r="B299" s="57" t="s">
        <v>134</v>
      </c>
      <c r="C299" s="42" t="s">
        <v>79</v>
      </c>
      <c r="D299" s="60"/>
    </row>
    <row r="300">
      <c r="A300" s="56" t="s">
        <v>525</v>
      </c>
      <c r="B300" s="57" t="s">
        <v>134</v>
      </c>
      <c r="C300" s="42" t="s">
        <v>79</v>
      </c>
      <c r="D300" s="60"/>
    </row>
    <row r="301">
      <c r="A301" s="56" t="s">
        <v>526</v>
      </c>
      <c r="B301" s="57" t="s">
        <v>134</v>
      </c>
      <c r="C301" s="42" t="s">
        <v>79</v>
      </c>
      <c r="D301" s="60"/>
    </row>
    <row r="302">
      <c r="A302" s="56" t="s">
        <v>527</v>
      </c>
      <c r="B302" s="57" t="s">
        <v>134</v>
      </c>
      <c r="C302" s="42" t="s">
        <v>79</v>
      </c>
      <c r="D302" s="60"/>
    </row>
    <row r="303">
      <c r="A303" s="56" t="s">
        <v>528</v>
      </c>
      <c r="B303" s="57" t="s">
        <v>134</v>
      </c>
      <c r="C303" s="42" t="s">
        <v>79</v>
      </c>
      <c r="D303" s="60"/>
    </row>
    <row r="304">
      <c r="A304" s="56" t="s">
        <v>529</v>
      </c>
      <c r="B304" s="57" t="s">
        <v>134</v>
      </c>
      <c r="C304" s="42" t="s">
        <v>79</v>
      </c>
      <c r="D304" s="60"/>
    </row>
    <row r="305">
      <c r="A305" s="56" t="s">
        <v>530</v>
      </c>
      <c r="B305" s="57" t="s">
        <v>134</v>
      </c>
      <c r="C305" s="42" t="s">
        <v>79</v>
      </c>
      <c r="D305" s="60"/>
    </row>
    <row r="306">
      <c r="A306" s="56" t="s">
        <v>531</v>
      </c>
      <c r="B306" s="57" t="s">
        <v>134</v>
      </c>
      <c r="C306" s="42" t="s">
        <v>79</v>
      </c>
      <c r="D306" s="60"/>
    </row>
    <row r="307">
      <c r="A307" s="56" t="s">
        <v>532</v>
      </c>
      <c r="B307" s="57" t="s">
        <v>533</v>
      </c>
      <c r="C307" s="42" t="s">
        <v>79</v>
      </c>
      <c r="D307" s="60"/>
    </row>
    <row r="308">
      <c r="A308" s="56" t="s">
        <v>534</v>
      </c>
      <c r="B308" s="57" t="s">
        <v>533</v>
      </c>
      <c r="C308" s="42" t="s">
        <v>79</v>
      </c>
      <c r="D308" s="60"/>
    </row>
    <row r="309">
      <c r="A309" s="56" t="s">
        <v>535</v>
      </c>
      <c r="B309" s="57" t="s">
        <v>533</v>
      </c>
      <c r="C309" s="42" t="s">
        <v>79</v>
      </c>
      <c r="D309" s="60"/>
    </row>
    <row r="310">
      <c r="A310" s="56" t="s">
        <v>536</v>
      </c>
      <c r="B310" s="57" t="s">
        <v>533</v>
      </c>
      <c r="C310" s="42" t="s">
        <v>79</v>
      </c>
      <c r="D310" s="60"/>
    </row>
    <row r="311">
      <c r="A311" s="56" t="s">
        <v>537</v>
      </c>
      <c r="B311" s="57" t="s">
        <v>533</v>
      </c>
      <c r="C311" s="42" t="s">
        <v>79</v>
      </c>
      <c r="D311" s="60"/>
    </row>
    <row r="312">
      <c r="A312" s="56" t="s">
        <v>538</v>
      </c>
      <c r="B312" s="57" t="s">
        <v>533</v>
      </c>
      <c r="C312" s="42" t="s">
        <v>79</v>
      </c>
      <c r="D312" s="60"/>
    </row>
    <row r="313">
      <c r="A313" s="56" t="s">
        <v>539</v>
      </c>
      <c r="B313" s="57" t="s">
        <v>533</v>
      </c>
      <c r="C313" s="42" t="s">
        <v>79</v>
      </c>
      <c r="D313" s="60"/>
    </row>
    <row r="314">
      <c r="A314" s="56" t="s">
        <v>540</v>
      </c>
      <c r="B314" s="57" t="s">
        <v>533</v>
      </c>
      <c r="C314" s="42" t="s">
        <v>79</v>
      </c>
      <c r="D314" s="60"/>
    </row>
    <row r="315">
      <c r="A315" s="56" t="s">
        <v>541</v>
      </c>
      <c r="B315" s="57" t="s">
        <v>533</v>
      </c>
      <c r="C315" s="42" t="s">
        <v>79</v>
      </c>
      <c r="D315" s="60"/>
    </row>
    <row r="316">
      <c r="A316" s="56" t="s">
        <v>542</v>
      </c>
      <c r="B316" s="57" t="s">
        <v>533</v>
      </c>
      <c r="C316" s="42" t="s">
        <v>79</v>
      </c>
      <c r="D316" s="60"/>
    </row>
    <row r="317">
      <c r="A317" s="56" t="s">
        <v>543</v>
      </c>
      <c r="B317" s="57" t="s">
        <v>533</v>
      </c>
      <c r="C317" s="42" t="s">
        <v>79</v>
      </c>
      <c r="D317" s="60"/>
    </row>
    <row r="318">
      <c r="A318" s="56" t="s">
        <v>544</v>
      </c>
      <c r="B318" s="57" t="s">
        <v>533</v>
      </c>
      <c r="C318" s="42" t="s">
        <v>79</v>
      </c>
      <c r="D318" s="60"/>
    </row>
    <row r="319">
      <c r="A319" s="56" t="s">
        <v>545</v>
      </c>
      <c r="B319" s="57" t="s">
        <v>262</v>
      </c>
      <c r="C319" s="42" t="s">
        <v>79</v>
      </c>
      <c r="D319" s="60"/>
    </row>
    <row r="320">
      <c r="A320" s="56" t="s">
        <v>546</v>
      </c>
      <c r="B320" s="57" t="s">
        <v>262</v>
      </c>
      <c r="C320" s="42" t="s">
        <v>79</v>
      </c>
      <c r="D320" s="60"/>
    </row>
    <row r="321">
      <c r="A321" s="56" t="s">
        <v>547</v>
      </c>
      <c r="B321" s="57" t="s">
        <v>262</v>
      </c>
      <c r="C321" s="42" t="s">
        <v>79</v>
      </c>
      <c r="D321" s="60"/>
    </row>
    <row r="322">
      <c r="A322" s="56" t="s">
        <v>548</v>
      </c>
      <c r="B322" s="57" t="s">
        <v>262</v>
      </c>
      <c r="C322" s="42" t="s">
        <v>79</v>
      </c>
      <c r="D322" s="60"/>
    </row>
    <row r="323">
      <c r="A323" s="56" t="s">
        <v>549</v>
      </c>
      <c r="B323" s="57" t="s">
        <v>262</v>
      </c>
      <c r="C323" s="42" t="s">
        <v>79</v>
      </c>
      <c r="D323" s="60"/>
    </row>
    <row r="324">
      <c r="A324" s="56" t="s">
        <v>550</v>
      </c>
      <c r="B324" s="57" t="s">
        <v>262</v>
      </c>
      <c r="C324" s="42" t="s">
        <v>79</v>
      </c>
      <c r="D324" s="60"/>
    </row>
    <row r="325">
      <c r="A325" s="56" t="s">
        <v>551</v>
      </c>
      <c r="B325" s="57" t="s">
        <v>359</v>
      </c>
      <c r="C325" s="42" t="s">
        <v>79</v>
      </c>
      <c r="D325" s="60"/>
    </row>
    <row r="326">
      <c r="A326" s="56" t="s">
        <v>552</v>
      </c>
      <c r="B326" s="57" t="s">
        <v>359</v>
      </c>
      <c r="C326" s="42" t="s">
        <v>79</v>
      </c>
      <c r="D326" s="60"/>
    </row>
    <row r="327">
      <c r="A327" s="56" t="s">
        <v>553</v>
      </c>
      <c r="B327" s="57" t="s">
        <v>359</v>
      </c>
      <c r="C327" s="42" t="s">
        <v>79</v>
      </c>
      <c r="D327" s="60"/>
    </row>
    <row r="328">
      <c r="A328" s="56" t="s">
        <v>554</v>
      </c>
      <c r="B328" s="57" t="s">
        <v>359</v>
      </c>
      <c r="C328" s="42" t="s">
        <v>79</v>
      </c>
      <c r="D328" s="60"/>
    </row>
    <row r="329">
      <c r="A329" s="56" t="s">
        <v>555</v>
      </c>
      <c r="B329" s="57" t="s">
        <v>359</v>
      </c>
      <c r="C329" s="42" t="s">
        <v>79</v>
      </c>
      <c r="D329" s="60"/>
    </row>
    <row r="330">
      <c r="A330" s="56" t="s">
        <v>556</v>
      </c>
      <c r="B330" s="57" t="s">
        <v>359</v>
      </c>
      <c r="C330" s="42" t="s">
        <v>79</v>
      </c>
      <c r="D330" s="60"/>
    </row>
    <row r="331">
      <c r="A331" s="56" t="s">
        <v>557</v>
      </c>
      <c r="B331" s="57" t="s">
        <v>359</v>
      </c>
      <c r="C331" s="42" t="s">
        <v>79</v>
      </c>
      <c r="D331" s="60"/>
    </row>
    <row r="332">
      <c r="A332" s="56" t="s">
        <v>558</v>
      </c>
      <c r="B332" s="57" t="s">
        <v>359</v>
      </c>
      <c r="C332" s="42" t="s">
        <v>79</v>
      </c>
      <c r="D332" s="60"/>
    </row>
    <row r="333">
      <c r="A333" s="56" t="s">
        <v>559</v>
      </c>
      <c r="B333" s="57" t="s">
        <v>359</v>
      </c>
      <c r="C333" s="42" t="s">
        <v>79</v>
      </c>
      <c r="D333" s="60"/>
    </row>
    <row r="334">
      <c r="A334" s="56" t="s">
        <v>560</v>
      </c>
      <c r="B334" s="57" t="s">
        <v>359</v>
      </c>
      <c r="C334" s="42" t="s">
        <v>79</v>
      </c>
      <c r="D334" s="60"/>
    </row>
    <row r="335">
      <c r="A335" s="56" t="s">
        <v>561</v>
      </c>
      <c r="B335" s="57" t="s">
        <v>359</v>
      </c>
      <c r="C335" s="42" t="s">
        <v>79</v>
      </c>
      <c r="D335" s="60"/>
    </row>
    <row r="336">
      <c r="A336" s="56" t="s">
        <v>562</v>
      </c>
      <c r="B336" s="57" t="s">
        <v>359</v>
      </c>
      <c r="C336" s="42" t="s">
        <v>79</v>
      </c>
      <c r="D336" s="60"/>
    </row>
    <row r="337">
      <c r="A337" s="56" t="s">
        <v>563</v>
      </c>
      <c r="B337" s="57" t="s">
        <v>359</v>
      </c>
      <c r="C337" s="42" t="s">
        <v>79</v>
      </c>
      <c r="D337" s="60"/>
    </row>
    <row r="338">
      <c r="A338" s="56" t="s">
        <v>564</v>
      </c>
      <c r="B338" s="57" t="s">
        <v>359</v>
      </c>
      <c r="C338" s="42" t="s">
        <v>79</v>
      </c>
      <c r="D338" s="60"/>
    </row>
    <row r="339">
      <c r="A339" s="56" t="s">
        <v>565</v>
      </c>
      <c r="B339" s="57" t="s">
        <v>359</v>
      </c>
      <c r="C339" s="42" t="s">
        <v>79</v>
      </c>
      <c r="D339" s="60"/>
    </row>
    <row r="340">
      <c r="A340" s="56" t="s">
        <v>566</v>
      </c>
      <c r="B340" s="57" t="s">
        <v>359</v>
      </c>
      <c r="C340" s="42" t="s">
        <v>79</v>
      </c>
      <c r="D340" s="60"/>
    </row>
    <row r="341">
      <c r="A341" s="56" t="s">
        <v>567</v>
      </c>
      <c r="B341" s="57" t="s">
        <v>301</v>
      </c>
      <c r="C341" s="42" t="s">
        <v>79</v>
      </c>
      <c r="D341" s="60"/>
    </row>
    <row r="342">
      <c r="A342" s="71" t="s">
        <v>568</v>
      </c>
      <c r="B342" s="72" t="s">
        <v>301</v>
      </c>
      <c r="C342" s="42" t="s">
        <v>79</v>
      </c>
      <c r="D342" s="60"/>
    </row>
    <row r="343">
      <c r="A343" s="56" t="s">
        <v>569</v>
      </c>
      <c r="B343" s="57" t="s">
        <v>301</v>
      </c>
      <c r="C343" s="42" t="s">
        <v>79</v>
      </c>
      <c r="D343" s="60"/>
    </row>
    <row r="344">
      <c r="A344" s="56" t="s">
        <v>570</v>
      </c>
      <c r="B344" s="57" t="s">
        <v>301</v>
      </c>
      <c r="C344" s="42" t="s">
        <v>79</v>
      </c>
      <c r="D344" s="60"/>
    </row>
    <row r="345">
      <c r="A345" s="56" t="s">
        <v>571</v>
      </c>
      <c r="B345" s="57" t="s">
        <v>301</v>
      </c>
      <c r="C345" s="42" t="s">
        <v>79</v>
      </c>
      <c r="D345" s="60"/>
    </row>
    <row r="346">
      <c r="A346" s="56" t="s">
        <v>572</v>
      </c>
      <c r="B346" s="57" t="s">
        <v>301</v>
      </c>
      <c r="C346" s="42" t="s">
        <v>79</v>
      </c>
      <c r="D346" s="60"/>
    </row>
    <row r="347">
      <c r="A347" s="56" t="s">
        <v>573</v>
      </c>
      <c r="B347" s="57" t="s">
        <v>301</v>
      </c>
      <c r="C347" s="42" t="s">
        <v>79</v>
      </c>
      <c r="D347" s="60"/>
    </row>
    <row r="348">
      <c r="A348" s="56" t="s">
        <v>574</v>
      </c>
      <c r="B348" s="57" t="s">
        <v>301</v>
      </c>
      <c r="C348" s="42" t="s">
        <v>79</v>
      </c>
      <c r="D348" s="60"/>
    </row>
    <row r="349">
      <c r="A349" s="56" t="s">
        <v>575</v>
      </c>
      <c r="B349" s="57" t="s">
        <v>301</v>
      </c>
      <c r="C349" s="42" t="s">
        <v>79</v>
      </c>
      <c r="D349" s="60"/>
    </row>
    <row r="350">
      <c r="A350" s="56" t="s">
        <v>576</v>
      </c>
      <c r="B350" s="57" t="s">
        <v>301</v>
      </c>
      <c r="C350" s="42" t="s">
        <v>79</v>
      </c>
      <c r="D350" s="60"/>
    </row>
    <row r="351">
      <c r="A351" s="56" t="s">
        <v>577</v>
      </c>
      <c r="B351" s="57" t="s">
        <v>301</v>
      </c>
      <c r="C351" s="42" t="s">
        <v>79</v>
      </c>
      <c r="D351" s="60"/>
    </row>
    <row r="352">
      <c r="A352" s="56" t="s">
        <v>578</v>
      </c>
      <c r="B352" s="57" t="s">
        <v>301</v>
      </c>
      <c r="C352" s="42" t="s">
        <v>79</v>
      </c>
      <c r="D352" s="60"/>
    </row>
    <row r="353">
      <c r="A353" s="56" t="s">
        <v>579</v>
      </c>
      <c r="B353" s="57" t="s">
        <v>301</v>
      </c>
      <c r="C353" s="42" t="s">
        <v>79</v>
      </c>
      <c r="D353" s="60"/>
    </row>
    <row r="354">
      <c r="A354" s="56" t="s">
        <v>580</v>
      </c>
      <c r="B354" s="57" t="s">
        <v>112</v>
      </c>
      <c r="C354" s="42" t="s">
        <v>79</v>
      </c>
      <c r="D354" s="60"/>
    </row>
    <row r="355">
      <c r="A355" s="56" t="s">
        <v>581</v>
      </c>
      <c r="B355" s="57" t="s">
        <v>112</v>
      </c>
      <c r="C355" s="42" t="s">
        <v>79</v>
      </c>
      <c r="D355" s="60"/>
    </row>
    <row r="356">
      <c r="A356" s="56" t="s">
        <v>582</v>
      </c>
      <c r="B356" s="57" t="s">
        <v>112</v>
      </c>
      <c r="C356" s="42" t="s">
        <v>79</v>
      </c>
      <c r="D356" s="60"/>
    </row>
    <row r="357">
      <c r="A357" s="56" t="s">
        <v>583</v>
      </c>
      <c r="B357" s="57" t="s">
        <v>112</v>
      </c>
      <c r="C357" s="42" t="s">
        <v>79</v>
      </c>
      <c r="D357" s="60"/>
    </row>
    <row r="358">
      <c r="A358" s="56" t="s">
        <v>584</v>
      </c>
      <c r="B358" s="57" t="s">
        <v>112</v>
      </c>
      <c r="C358" s="42" t="s">
        <v>79</v>
      </c>
      <c r="D358" s="60"/>
    </row>
    <row r="359">
      <c r="A359" s="56" t="s">
        <v>585</v>
      </c>
      <c r="B359" s="57" t="s">
        <v>112</v>
      </c>
      <c r="C359" s="42" t="s">
        <v>79</v>
      </c>
      <c r="D359" s="60"/>
    </row>
    <row r="360">
      <c r="A360" s="56" t="s">
        <v>586</v>
      </c>
      <c r="B360" s="57" t="s">
        <v>186</v>
      </c>
      <c r="C360" s="42" t="s">
        <v>79</v>
      </c>
      <c r="D360" s="60"/>
    </row>
    <row r="361">
      <c r="A361" s="56" t="s">
        <v>587</v>
      </c>
      <c r="B361" s="57" t="s">
        <v>186</v>
      </c>
      <c r="C361" s="42" t="s">
        <v>79</v>
      </c>
      <c r="D361" s="60"/>
    </row>
    <row r="362">
      <c r="A362" s="56" t="s">
        <v>588</v>
      </c>
      <c r="B362" s="57" t="s">
        <v>418</v>
      </c>
      <c r="C362" s="42" t="s">
        <v>79</v>
      </c>
      <c r="D362" s="60"/>
    </row>
    <row r="363">
      <c r="A363" s="56" t="s">
        <v>589</v>
      </c>
      <c r="B363" s="57" t="s">
        <v>418</v>
      </c>
      <c r="C363" s="42" t="s">
        <v>79</v>
      </c>
      <c r="D363" s="60"/>
    </row>
    <row r="364">
      <c r="A364" s="56" t="s">
        <v>590</v>
      </c>
      <c r="B364" s="57" t="s">
        <v>418</v>
      </c>
      <c r="C364" s="42" t="s">
        <v>79</v>
      </c>
      <c r="D364" s="60"/>
    </row>
    <row r="365">
      <c r="A365" s="56" t="s">
        <v>591</v>
      </c>
      <c r="B365" s="57" t="s">
        <v>418</v>
      </c>
      <c r="C365" s="42" t="s">
        <v>79</v>
      </c>
      <c r="D365" s="60"/>
    </row>
    <row r="366">
      <c r="A366" s="56" t="s">
        <v>592</v>
      </c>
      <c r="B366" s="57" t="s">
        <v>418</v>
      </c>
      <c r="C366" s="42" t="s">
        <v>79</v>
      </c>
      <c r="D366" s="60"/>
    </row>
    <row r="367">
      <c r="A367" s="56" t="s">
        <v>593</v>
      </c>
      <c r="B367" s="57" t="s">
        <v>418</v>
      </c>
      <c r="C367" s="42" t="s">
        <v>79</v>
      </c>
      <c r="D367" s="60"/>
    </row>
    <row r="368">
      <c r="A368" s="56" t="s">
        <v>594</v>
      </c>
      <c r="B368" s="57" t="s">
        <v>418</v>
      </c>
      <c r="C368" s="42" t="s">
        <v>79</v>
      </c>
      <c r="D368" s="60"/>
    </row>
    <row r="369">
      <c r="A369" s="56" t="s">
        <v>595</v>
      </c>
      <c r="B369" s="57" t="s">
        <v>418</v>
      </c>
      <c r="C369" s="42" t="s">
        <v>79</v>
      </c>
      <c r="D369" s="60"/>
    </row>
    <row r="370">
      <c r="A370" s="56" t="s">
        <v>596</v>
      </c>
      <c r="B370" s="57" t="s">
        <v>213</v>
      </c>
      <c r="C370" s="42" t="s">
        <v>79</v>
      </c>
      <c r="D370" s="60"/>
    </row>
    <row r="371">
      <c r="A371" s="56" t="s">
        <v>597</v>
      </c>
      <c r="B371" s="57" t="s">
        <v>213</v>
      </c>
      <c r="C371" s="42" t="s">
        <v>79</v>
      </c>
      <c r="D371" s="60"/>
    </row>
    <row r="372">
      <c r="A372" s="56" t="s">
        <v>598</v>
      </c>
      <c r="B372" s="57" t="s">
        <v>213</v>
      </c>
      <c r="C372" s="42" t="s">
        <v>79</v>
      </c>
      <c r="D372" s="60"/>
    </row>
    <row r="373">
      <c r="A373" s="56" t="s">
        <v>599</v>
      </c>
      <c r="B373" s="57" t="s">
        <v>213</v>
      </c>
      <c r="C373" s="42" t="s">
        <v>79</v>
      </c>
      <c r="D373" s="60"/>
    </row>
    <row r="374">
      <c r="A374" s="56" t="s">
        <v>600</v>
      </c>
      <c r="B374" s="73" t="s">
        <v>213</v>
      </c>
      <c r="C374" s="42" t="s">
        <v>79</v>
      </c>
      <c r="D374" s="60"/>
    </row>
    <row r="375">
      <c r="A375" s="56" t="s">
        <v>601</v>
      </c>
      <c r="B375" s="73" t="s">
        <v>213</v>
      </c>
      <c r="C375" s="42" t="s">
        <v>79</v>
      </c>
      <c r="D375" s="60"/>
    </row>
    <row r="376">
      <c r="A376" s="56" t="s">
        <v>602</v>
      </c>
      <c r="B376" s="73" t="s">
        <v>213</v>
      </c>
      <c r="C376" s="42" t="s">
        <v>79</v>
      </c>
      <c r="D376" s="60"/>
    </row>
    <row r="377">
      <c r="A377" s="56" t="s">
        <v>603</v>
      </c>
      <c r="B377" s="73" t="s">
        <v>213</v>
      </c>
      <c r="C377" s="42" t="s">
        <v>79</v>
      </c>
      <c r="D377" s="60"/>
    </row>
    <row r="378">
      <c r="A378" s="74" t="s">
        <v>604</v>
      </c>
      <c r="B378" s="73" t="s">
        <v>298</v>
      </c>
      <c r="C378" s="42" t="s">
        <v>79</v>
      </c>
      <c r="D378" s="61" t="s">
        <v>79</v>
      </c>
    </row>
    <row r="379">
      <c r="A379" s="74" t="s">
        <v>604</v>
      </c>
      <c r="B379" s="73" t="s">
        <v>298</v>
      </c>
      <c r="C379" s="42" t="s">
        <v>79</v>
      </c>
      <c r="D379" s="61" t="s">
        <v>79</v>
      </c>
    </row>
    <row r="380">
      <c r="A380" s="74" t="s">
        <v>605</v>
      </c>
      <c r="B380" s="73" t="s">
        <v>298</v>
      </c>
      <c r="C380" s="42" t="s">
        <v>79</v>
      </c>
      <c r="D380" s="61" t="s">
        <v>79</v>
      </c>
    </row>
    <row r="381">
      <c r="A381" s="74" t="s">
        <v>606</v>
      </c>
      <c r="B381" s="73" t="s">
        <v>298</v>
      </c>
      <c r="C381" s="42" t="s">
        <v>79</v>
      </c>
      <c r="D381" s="61" t="s">
        <v>79</v>
      </c>
    </row>
    <row r="382">
      <c r="A382" s="74" t="s">
        <v>607</v>
      </c>
      <c r="B382" s="73" t="s">
        <v>298</v>
      </c>
      <c r="C382" s="42" t="s">
        <v>79</v>
      </c>
      <c r="D382" s="61" t="s">
        <v>79</v>
      </c>
    </row>
    <row r="383">
      <c r="A383" s="74" t="s">
        <v>607</v>
      </c>
      <c r="B383" s="73" t="s">
        <v>298</v>
      </c>
      <c r="C383" s="42" t="s">
        <v>79</v>
      </c>
      <c r="D383" s="61" t="s">
        <v>79</v>
      </c>
    </row>
    <row r="384">
      <c r="A384" s="75" t="s">
        <v>608</v>
      </c>
      <c r="B384" s="73" t="s">
        <v>298</v>
      </c>
      <c r="C384" s="42" t="s">
        <v>79</v>
      </c>
      <c r="D384" s="61" t="s">
        <v>79</v>
      </c>
    </row>
    <row r="385">
      <c r="A385" s="74" t="s">
        <v>609</v>
      </c>
      <c r="B385" s="73" t="s">
        <v>298</v>
      </c>
      <c r="C385" s="42" t="s">
        <v>79</v>
      </c>
      <c r="D385" s="61" t="s">
        <v>79</v>
      </c>
    </row>
    <row r="386">
      <c r="A386" s="74" t="s">
        <v>610</v>
      </c>
      <c r="B386" s="73" t="s">
        <v>298</v>
      </c>
      <c r="C386" s="42" t="s">
        <v>79</v>
      </c>
      <c r="D386" s="61" t="s">
        <v>79</v>
      </c>
    </row>
    <row r="387">
      <c r="A387" s="74" t="s">
        <v>611</v>
      </c>
      <c r="B387" s="73" t="s">
        <v>298</v>
      </c>
      <c r="C387" s="42" t="s">
        <v>79</v>
      </c>
      <c r="D387" s="61" t="s">
        <v>79</v>
      </c>
    </row>
    <row r="388">
      <c r="A388" s="74" t="s">
        <v>612</v>
      </c>
      <c r="B388" s="73" t="s">
        <v>298</v>
      </c>
      <c r="C388" s="42" t="s">
        <v>79</v>
      </c>
      <c r="D388" s="61" t="s">
        <v>79</v>
      </c>
    </row>
    <row r="389">
      <c r="A389" s="74" t="s">
        <v>613</v>
      </c>
      <c r="B389" s="73" t="s">
        <v>298</v>
      </c>
      <c r="C389" s="42" t="s">
        <v>79</v>
      </c>
      <c r="D389" s="61" t="s">
        <v>79</v>
      </c>
    </row>
    <row r="390">
      <c r="A390" s="74" t="s">
        <v>614</v>
      </c>
      <c r="B390" s="73" t="s">
        <v>298</v>
      </c>
      <c r="C390" s="42" t="s">
        <v>79</v>
      </c>
      <c r="D390" s="61" t="s">
        <v>79</v>
      </c>
    </row>
    <row r="391">
      <c r="A391" s="74" t="s">
        <v>615</v>
      </c>
      <c r="B391" s="73" t="s">
        <v>298</v>
      </c>
      <c r="C391" s="42" t="s">
        <v>79</v>
      </c>
      <c r="D391" s="61" t="s">
        <v>79</v>
      </c>
    </row>
    <row r="392">
      <c r="A392" s="74" t="s">
        <v>616</v>
      </c>
      <c r="B392" s="73" t="s">
        <v>298</v>
      </c>
      <c r="C392" s="42" t="s">
        <v>79</v>
      </c>
      <c r="D392" s="61" t="s">
        <v>79</v>
      </c>
    </row>
    <row r="393">
      <c r="A393" s="74" t="s">
        <v>617</v>
      </c>
      <c r="B393" s="73" t="s">
        <v>298</v>
      </c>
      <c r="C393" s="42" t="s">
        <v>79</v>
      </c>
      <c r="D393" s="61" t="s">
        <v>79</v>
      </c>
    </row>
    <row r="394">
      <c r="A394" s="75" t="s">
        <v>618</v>
      </c>
      <c r="B394" s="73" t="s">
        <v>298</v>
      </c>
      <c r="C394" s="42" t="s">
        <v>79</v>
      </c>
      <c r="D394" s="61" t="s">
        <v>79</v>
      </c>
    </row>
    <row r="395">
      <c r="A395" s="74" t="s">
        <v>619</v>
      </c>
      <c r="B395" s="73" t="s">
        <v>231</v>
      </c>
      <c r="C395" s="42" t="s">
        <v>79</v>
      </c>
      <c r="D395" s="61" t="s">
        <v>79</v>
      </c>
    </row>
    <row r="396">
      <c r="A396" s="74" t="s">
        <v>619</v>
      </c>
      <c r="B396" s="73" t="s">
        <v>231</v>
      </c>
      <c r="C396" s="42" t="s">
        <v>79</v>
      </c>
      <c r="D396" s="61" t="s">
        <v>79</v>
      </c>
    </row>
    <row r="397">
      <c r="A397" s="74" t="s">
        <v>620</v>
      </c>
      <c r="B397" s="73" t="s">
        <v>231</v>
      </c>
      <c r="C397" s="42" t="s">
        <v>79</v>
      </c>
      <c r="D397" s="61" t="s">
        <v>79</v>
      </c>
    </row>
    <row r="398">
      <c r="A398" s="74" t="s">
        <v>620</v>
      </c>
      <c r="B398" s="73" t="s">
        <v>231</v>
      </c>
      <c r="C398" s="42" t="s">
        <v>79</v>
      </c>
      <c r="D398" s="61" t="s">
        <v>79</v>
      </c>
    </row>
    <row r="399">
      <c r="A399" s="74" t="s">
        <v>621</v>
      </c>
      <c r="B399" s="73" t="s">
        <v>231</v>
      </c>
      <c r="C399" s="42" t="s">
        <v>79</v>
      </c>
      <c r="D399" s="61" t="s">
        <v>79</v>
      </c>
    </row>
    <row r="400">
      <c r="A400" s="74" t="s">
        <v>622</v>
      </c>
      <c r="B400" s="73" t="s">
        <v>231</v>
      </c>
      <c r="C400" s="42" t="s">
        <v>79</v>
      </c>
      <c r="D400" s="61" t="s">
        <v>79</v>
      </c>
    </row>
    <row r="401">
      <c r="A401" s="74" t="s">
        <v>623</v>
      </c>
      <c r="B401" s="73" t="s">
        <v>231</v>
      </c>
      <c r="C401" s="42" t="s">
        <v>79</v>
      </c>
      <c r="D401" s="61" t="s">
        <v>79</v>
      </c>
    </row>
    <row r="402">
      <c r="A402" s="74" t="s">
        <v>624</v>
      </c>
      <c r="B402" s="73" t="s">
        <v>231</v>
      </c>
      <c r="C402" s="42" t="s">
        <v>79</v>
      </c>
      <c r="D402" s="61" t="s">
        <v>79</v>
      </c>
    </row>
    <row r="403">
      <c r="A403" s="74" t="s">
        <v>625</v>
      </c>
      <c r="B403" s="73" t="s">
        <v>231</v>
      </c>
      <c r="C403" s="42" t="s">
        <v>79</v>
      </c>
      <c r="D403" s="61" t="s">
        <v>79</v>
      </c>
    </row>
    <row r="404">
      <c r="A404" s="74" t="s">
        <v>626</v>
      </c>
      <c r="B404" s="73" t="s">
        <v>231</v>
      </c>
      <c r="C404" s="42" t="s">
        <v>79</v>
      </c>
      <c r="D404" s="61" t="s">
        <v>79</v>
      </c>
    </row>
    <row r="405">
      <c r="A405" s="74" t="s">
        <v>627</v>
      </c>
      <c r="B405" s="73" t="s">
        <v>231</v>
      </c>
      <c r="C405" s="42" t="s">
        <v>79</v>
      </c>
      <c r="D405" s="61" t="s">
        <v>79</v>
      </c>
    </row>
    <row r="406">
      <c r="A406" s="74" t="s">
        <v>628</v>
      </c>
      <c r="B406" s="73" t="s">
        <v>231</v>
      </c>
      <c r="C406" s="42" t="s">
        <v>79</v>
      </c>
      <c r="D406" s="61" t="s">
        <v>79</v>
      </c>
    </row>
    <row r="407">
      <c r="A407" s="74" t="s">
        <v>629</v>
      </c>
      <c r="B407" s="73" t="s">
        <v>231</v>
      </c>
      <c r="C407" s="42" t="s">
        <v>79</v>
      </c>
      <c r="D407" s="61" t="s">
        <v>79</v>
      </c>
    </row>
    <row r="408">
      <c r="A408" s="74" t="s">
        <v>630</v>
      </c>
      <c r="B408" s="73" t="s">
        <v>231</v>
      </c>
      <c r="C408" s="42" t="s">
        <v>79</v>
      </c>
      <c r="D408" s="61" t="s">
        <v>79</v>
      </c>
    </row>
    <row r="409">
      <c r="A409" s="74" t="s">
        <v>630</v>
      </c>
      <c r="B409" s="73" t="s">
        <v>231</v>
      </c>
      <c r="C409" s="42" t="s">
        <v>79</v>
      </c>
      <c r="D409" s="61" t="s">
        <v>79</v>
      </c>
    </row>
    <row r="410">
      <c r="A410" s="74" t="s">
        <v>631</v>
      </c>
      <c r="B410" s="73" t="s">
        <v>231</v>
      </c>
      <c r="C410" s="42" t="s">
        <v>79</v>
      </c>
      <c r="D410" s="61" t="s">
        <v>79</v>
      </c>
    </row>
    <row r="411">
      <c r="A411" s="75" t="s">
        <v>632</v>
      </c>
      <c r="B411" s="73" t="s">
        <v>398</v>
      </c>
      <c r="C411" s="42" t="s">
        <v>79</v>
      </c>
      <c r="D411" s="61" t="s">
        <v>79</v>
      </c>
    </row>
    <row r="412">
      <c r="A412" s="74" t="s">
        <v>633</v>
      </c>
      <c r="B412" s="73" t="s">
        <v>398</v>
      </c>
      <c r="C412" s="42" t="s">
        <v>79</v>
      </c>
      <c r="D412" s="61" t="s">
        <v>79</v>
      </c>
    </row>
    <row r="413">
      <c r="A413" s="74" t="s">
        <v>633</v>
      </c>
      <c r="B413" s="73" t="s">
        <v>398</v>
      </c>
      <c r="C413" s="42" t="s">
        <v>79</v>
      </c>
      <c r="D413" s="61" t="s">
        <v>79</v>
      </c>
    </row>
    <row r="414">
      <c r="A414" s="74" t="s">
        <v>633</v>
      </c>
      <c r="B414" s="73" t="s">
        <v>398</v>
      </c>
      <c r="C414" s="42" t="s">
        <v>79</v>
      </c>
      <c r="D414" s="61" t="s">
        <v>79</v>
      </c>
    </row>
    <row r="415">
      <c r="A415" s="74" t="s">
        <v>634</v>
      </c>
      <c r="B415" s="73" t="s">
        <v>398</v>
      </c>
      <c r="C415" s="42" t="s">
        <v>79</v>
      </c>
      <c r="D415" s="61" t="s">
        <v>79</v>
      </c>
    </row>
    <row r="416">
      <c r="A416" s="74" t="s">
        <v>635</v>
      </c>
      <c r="B416" s="73" t="s">
        <v>398</v>
      </c>
      <c r="C416" s="42" t="s">
        <v>79</v>
      </c>
      <c r="D416" s="61" t="s">
        <v>79</v>
      </c>
    </row>
    <row r="417">
      <c r="A417" s="74" t="s">
        <v>636</v>
      </c>
      <c r="B417" s="73" t="s">
        <v>398</v>
      </c>
      <c r="C417" s="42" t="s">
        <v>79</v>
      </c>
      <c r="D417" s="61" t="s">
        <v>79</v>
      </c>
    </row>
    <row r="418">
      <c r="A418" s="74" t="s">
        <v>637</v>
      </c>
      <c r="B418" s="73" t="s">
        <v>398</v>
      </c>
      <c r="C418" s="42" t="s">
        <v>79</v>
      </c>
      <c r="D418" s="61" t="s">
        <v>79</v>
      </c>
    </row>
    <row r="419">
      <c r="A419" s="75" t="s">
        <v>638</v>
      </c>
      <c r="B419" s="73" t="s">
        <v>398</v>
      </c>
      <c r="C419" s="42" t="s">
        <v>79</v>
      </c>
      <c r="D419" s="61" t="s">
        <v>79</v>
      </c>
    </row>
    <row r="420">
      <c r="A420" s="74" t="s">
        <v>639</v>
      </c>
      <c r="B420" s="73" t="s">
        <v>398</v>
      </c>
      <c r="C420" s="42" t="s">
        <v>79</v>
      </c>
      <c r="D420" s="61" t="s">
        <v>79</v>
      </c>
    </row>
    <row r="421">
      <c r="A421" s="74" t="s">
        <v>640</v>
      </c>
      <c r="B421" s="73" t="s">
        <v>398</v>
      </c>
      <c r="C421" s="42" t="s">
        <v>79</v>
      </c>
      <c r="D421" s="61" t="s">
        <v>79</v>
      </c>
    </row>
    <row r="422">
      <c r="A422" s="74" t="s">
        <v>641</v>
      </c>
      <c r="B422" s="73" t="s">
        <v>398</v>
      </c>
      <c r="C422" s="42" t="s">
        <v>79</v>
      </c>
      <c r="D422" s="61" t="s">
        <v>79</v>
      </c>
    </row>
    <row r="423">
      <c r="A423" s="74" t="s">
        <v>634</v>
      </c>
      <c r="B423" s="73" t="s">
        <v>398</v>
      </c>
      <c r="C423" s="42" t="s">
        <v>79</v>
      </c>
      <c r="D423" s="61" t="s">
        <v>79</v>
      </c>
    </row>
    <row r="424">
      <c r="A424" s="74" t="s">
        <v>642</v>
      </c>
      <c r="B424" s="73" t="s">
        <v>398</v>
      </c>
      <c r="C424" s="42" t="s">
        <v>79</v>
      </c>
      <c r="D424" s="61" t="s">
        <v>79</v>
      </c>
    </row>
    <row r="425">
      <c r="A425" s="74" t="s">
        <v>643</v>
      </c>
      <c r="B425" s="73" t="s">
        <v>398</v>
      </c>
      <c r="C425" s="42" t="s">
        <v>79</v>
      </c>
      <c r="D425" s="61" t="s">
        <v>79</v>
      </c>
    </row>
    <row r="426">
      <c r="A426" s="74" t="s">
        <v>644</v>
      </c>
      <c r="B426" s="73" t="s">
        <v>398</v>
      </c>
      <c r="C426" s="42" t="s">
        <v>79</v>
      </c>
      <c r="D426" s="61" t="s">
        <v>79</v>
      </c>
    </row>
    <row r="427">
      <c r="A427" s="74" t="s">
        <v>645</v>
      </c>
      <c r="B427" s="73" t="s">
        <v>398</v>
      </c>
      <c r="C427" s="42" t="s">
        <v>79</v>
      </c>
      <c r="D427" s="61" t="s">
        <v>79</v>
      </c>
    </row>
    <row r="428">
      <c r="A428" s="74" t="s">
        <v>645</v>
      </c>
      <c r="B428" s="73" t="s">
        <v>398</v>
      </c>
      <c r="C428" s="42" t="s">
        <v>79</v>
      </c>
      <c r="D428" s="61" t="s">
        <v>79</v>
      </c>
    </row>
    <row r="429">
      <c r="A429" s="74" t="s">
        <v>646</v>
      </c>
      <c r="B429" s="73" t="s">
        <v>398</v>
      </c>
      <c r="C429" s="42" t="s">
        <v>79</v>
      </c>
      <c r="D429" s="61" t="s">
        <v>79</v>
      </c>
    </row>
    <row r="430">
      <c r="A430" s="74" t="s">
        <v>646</v>
      </c>
      <c r="B430" s="73" t="s">
        <v>398</v>
      </c>
      <c r="C430" s="42" t="s">
        <v>79</v>
      </c>
      <c r="D430" s="61" t="s">
        <v>79</v>
      </c>
    </row>
    <row r="431">
      <c r="A431" s="76" t="s">
        <v>647</v>
      </c>
      <c r="B431" s="77" t="s">
        <v>398</v>
      </c>
      <c r="C431" s="42" t="s">
        <v>79</v>
      </c>
      <c r="D431" s="61" t="s">
        <v>79</v>
      </c>
    </row>
    <row r="432">
      <c r="A432" s="75" t="s">
        <v>648</v>
      </c>
      <c r="B432" s="73" t="s">
        <v>288</v>
      </c>
      <c r="C432" s="42" t="s">
        <v>79</v>
      </c>
      <c r="D432" s="61" t="s">
        <v>79</v>
      </c>
    </row>
    <row r="433">
      <c r="A433" s="74" t="s">
        <v>649</v>
      </c>
      <c r="B433" s="73" t="s">
        <v>288</v>
      </c>
      <c r="C433" s="42" t="s">
        <v>79</v>
      </c>
      <c r="D433" s="61" t="s">
        <v>79</v>
      </c>
    </row>
    <row r="434">
      <c r="A434" s="74" t="s">
        <v>650</v>
      </c>
      <c r="B434" s="73" t="s">
        <v>288</v>
      </c>
      <c r="C434" s="42" t="s">
        <v>79</v>
      </c>
      <c r="D434" s="61" t="s">
        <v>79</v>
      </c>
    </row>
    <row r="435">
      <c r="A435" s="74" t="s">
        <v>651</v>
      </c>
      <c r="B435" s="73" t="s">
        <v>288</v>
      </c>
      <c r="C435" s="42" t="s">
        <v>79</v>
      </c>
      <c r="D435" s="61" t="s">
        <v>79</v>
      </c>
    </row>
    <row r="436">
      <c r="A436" s="74" t="s">
        <v>652</v>
      </c>
      <c r="B436" s="73" t="s">
        <v>288</v>
      </c>
      <c r="C436" s="42" t="s">
        <v>79</v>
      </c>
      <c r="D436" s="61" t="s">
        <v>79</v>
      </c>
    </row>
    <row r="437">
      <c r="A437" s="74" t="s">
        <v>653</v>
      </c>
      <c r="B437" s="73" t="s">
        <v>288</v>
      </c>
      <c r="C437" s="42" t="s">
        <v>79</v>
      </c>
      <c r="D437" s="61" t="s">
        <v>79</v>
      </c>
    </row>
    <row r="438">
      <c r="A438" s="74" t="s">
        <v>654</v>
      </c>
      <c r="B438" s="73" t="s">
        <v>288</v>
      </c>
      <c r="C438" s="42" t="s">
        <v>79</v>
      </c>
      <c r="D438" s="61" t="s">
        <v>79</v>
      </c>
    </row>
    <row r="439">
      <c r="A439" s="74" t="s">
        <v>655</v>
      </c>
      <c r="B439" s="73" t="s">
        <v>288</v>
      </c>
      <c r="C439" s="42" t="s">
        <v>79</v>
      </c>
      <c r="D439" s="61" t="s">
        <v>79</v>
      </c>
    </row>
    <row r="440">
      <c r="A440" s="74" t="s">
        <v>656</v>
      </c>
      <c r="B440" s="73" t="s">
        <v>288</v>
      </c>
      <c r="C440" s="42" t="s">
        <v>79</v>
      </c>
      <c r="D440" s="61" t="s">
        <v>79</v>
      </c>
    </row>
    <row r="441">
      <c r="A441" s="75" t="s">
        <v>657</v>
      </c>
      <c r="B441" s="73" t="s">
        <v>288</v>
      </c>
      <c r="C441" s="42" t="s">
        <v>79</v>
      </c>
      <c r="D441" s="61" t="s">
        <v>79</v>
      </c>
    </row>
    <row r="442">
      <c r="A442" s="74" t="s">
        <v>658</v>
      </c>
      <c r="B442" s="73" t="s">
        <v>285</v>
      </c>
      <c r="C442" s="42" t="s">
        <v>79</v>
      </c>
      <c r="D442" s="61" t="s">
        <v>79</v>
      </c>
    </row>
    <row r="443">
      <c r="A443" s="74" t="s">
        <v>659</v>
      </c>
      <c r="B443" s="73" t="s">
        <v>285</v>
      </c>
      <c r="C443" s="42" t="s">
        <v>79</v>
      </c>
      <c r="D443" s="61" t="s">
        <v>79</v>
      </c>
    </row>
    <row r="444">
      <c r="A444" s="74" t="s">
        <v>659</v>
      </c>
      <c r="B444" s="73" t="s">
        <v>285</v>
      </c>
      <c r="C444" s="42" t="s">
        <v>79</v>
      </c>
      <c r="D444" s="61" t="s">
        <v>79</v>
      </c>
    </row>
    <row r="445">
      <c r="A445" s="74" t="s">
        <v>660</v>
      </c>
      <c r="B445" s="73" t="s">
        <v>285</v>
      </c>
      <c r="C445" s="42" t="s">
        <v>79</v>
      </c>
      <c r="D445" s="61" t="s">
        <v>79</v>
      </c>
    </row>
    <row r="446">
      <c r="A446" s="75" t="s">
        <v>661</v>
      </c>
      <c r="B446" s="73" t="s">
        <v>285</v>
      </c>
      <c r="C446" s="42" t="s">
        <v>79</v>
      </c>
      <c r="D446" s="61" t="s">
        <v>79</v>
      </c>
    </row>
    <row r="447">
      <c r="A447" s="74" t="s">
        <v>662</v>
      </c>
      <c r="B447" s="73" t="s">
        <v>285</v>
      </c>
      <c r="C447" s="42" t="s">
        <v>79</v>
      </c>
      <c r="D447" s="61" t="s">
        <v>79</v>
      </c>
    </row>
    <row r="448">
      <c r="A448" s="74" t="s">
        <v>663</v>
      </c>
      <c r="B448" s="73" t="s">
        <v>285</v>
      </c>
      <c r="C448" s="42" t="s">
        <v>79</v>
      </c>
      <c r="D448" s="61" t="s">
        <v>79</v>
      </c>
    </row>
    <row r="449">
      <c r="A449" s="74" t="s">
        <v>664</v>
      </c>
      <c r="B449" s="73" t="s">
        <v>285</v>
      </c>
      <c r="C449" s="42" t="s">
        <v>79</v>
      </c>
      <c r="D449" s="61" t="s">
        <v>79</v>
      </c>
    </row>
    <row r="450">
      <c r="A450" s="74" t="s">
        <v>660</v>
      </c>
      <c r="B450" s="73" t="s">
        <v>285</v>
      </c>
      <c r="C450" s="42" t="s">
        <v>79</v>
      </c>
      <c r="D450" s="61" t="s">
        <v>79</v>
      </c>
    </row>
    <row r="451">
      <c r="A451" s="75" t="s">
        <v>665</v>
      </c>
      <c r="B451" s="73" t="s">
        <v>285</v>
      </c>
      <c r="C451" s="42" t="s">
        <v>79</v>
      </c>
      <c r="D451" s="61" t="s">
        <v>79</v>
      </c>
    </row>
    <row r="452">
      <c r="A452" s="74" t="s">
        <v>666</v>
      </c>
      <c r="B452" s="73" t="s">
        <v>285</v>
      </c>
      <c r="C452" s="42" t="s">
        <v>79</v>
      </c>
      <c r="D452" s="61" t="s">
        <v>79</v>
      </c>
    </row>
    <row r="453">
      <c r="A453" s="74" t="s">
        <v>667</v>
      </c>
      <c r="B453" s="73" t="s">
        <v>285</v>
      </c>
      <c r="C453" s="42" t="s">
        <v>79</v>
      </c>
      <c r="D453" s="61" t="s">
        <v>79</v>
      </c>
    </row>
    <row r="454">
      <c r="A454" s="74" t="s">
        <v>668</v>
      </c>
      <c r="B454" s="73" t="s">
        <v>669</v>
      </c>
      <c r="C454" s="42" t="s">
        <v>79</v>
      </c>
      <c r="D454" s="61" t="s">
        <v>79</v>
      </c>
    </row>
    <row r="455">
      <c r="A455" s="75" t="s">
        <v>670</v>
      </c>
      <c r="B455" s="73" t="s">
        <v>669</v>
      </c>
      <c r="C455" s="42" t="s">
        <v>79</v>
      </c>
      <c r="D455" s="61" t="s">
        <v>79</v>
      </c>
    </row>
    <row r="456">
      <c r="A456" s="74" t="s">
        <v>671</v>
      </c>
      <c r="B456" s="73" t="s">
        <v>669</v>
      </c>
      <c r="C456" s="42" t="s">
        <v>79</v>
      </c>
      <c r="D456" s="61" t="s">
        <v>79</v>
      </c>
    </row>
    <row r="457">
      <c r="A457" s="74" t="s">
        <v>672</v>
      </c>
      <c r="B457" s="73" t="s">
        <v>669</v>
      </c>
      <c r="C457" s="42" t="s">
        <v>79</v>
      </c>
      <c r="D457" s="61" t="s">
        <v>79</v>
      </c>
    </row>
    <row r="458">
      <c r="A458" s="74" t="s">
        <v>673</v>
      </c>
      <c r="B458" s="73" t="s">
        <v>669</v>
      </c>
      <c r="C458" s="42" t="s">
        <v>79</v>
      </c>
      <c r="D458" s="61" t="s">
        <v>79</v>
      </c>
    </row>
    <row r="459">
      <c r="A459" s="74" t="s">
        <v>674</v>
      </c>
      <c r="B459" s="73" t="s">
        <v>669</v>
      </c>
      <c r="C459" s="42" t="s">
        <v>79</v>
      </c>
      <c r="D459" s="61" t="s">
        <v>79</v>
      </c>
    </row>
    <row r="460">
      <c r="A460" s="74" t="s">
        <v>675</v>
      </c>
      <c r="B460" s="73" t="s">
        <v>669</v>
      </c>
      <c r="C460" s="42" t="s">
        <v>79</v>
      </c>
      <c r="D460" s="61" t="s">
        <v>79</v>
      </c>
    </row>
    <row r="461">
      <c r="A461" s="74" t="s">
        <v>675</v>
      </c>
      <c r="B461" s="73" t="s">
        <v>669</v>
      </c>
      <c r="C461" s="42" t="s">
        <v>79</v>
      </c>
      <c r="D461" s="61" t="s">
        <v>79</v>
      </c>
    </row>
    <row r="462">
      <c r="A462" s="74" t="s">
        <v>676</v>
      </c>
      <c r="B462" s="73" t="s">
        <v>669</v>
      </c>
      <c r="C462" s="42" t="s">
        <v>79</v>
      </c>
      <c r="D462" s="61" t="s">
        <v>79</v>
      </c>
    </row>
    <row r="463">
      <c r="A463" s="74" t="s">
        <v>677</v>
      </c>
      <c r="B463" s="73" t="s">
        <v>669</v>
      </c>
      <c r="C463" s="42" t="s">
        <v>79</v>
      </c>
      <c r="D463" s="61" t="s">
        <v>79</v>
      </c>
    </row>
    <row r="464">
      <c r="A464" s="74" t="s">
        <v>678</v>
      </c>
      <c r="B464" s="73" t="s">
        <v>669</v>
      </c>
      <c r="C464" s="42" t="s">
        <v>79</v>
      </c>
      <c r="D464" s="61" t="s">
        <v>79</v>
      </c>
    </row>
    <row r="465">
      <c r="A465" s="74" t="s">
        <v>679</v>
      </c>
      <c r="B465" s="73" t="s">
        <v>669</v>
      </c>
      <c r="C465" s="42" t="s">
        <v>79</v>
      </c>
      <c r="D465" s="61" t="s">
        <v>79</v>
      </c>
    </row>
    <row r="466">
      <c r="A466" s="75" t="s">
        <v>680</v>
      </c>
      <c r="B466" s="73" t="s">
        <v>669</v>
      </c>
      <c r="C466" s="42" t="s">
        <v>79</v>
      </c>
      <c r="D466" s="61" t="s">
        <v>79</v>
      </c>
    </row>
    <row r="467">
      <c r="A467" s="74" t="s">
        <v>681</v>
      </c>
      <c r="B467" s="73" t="s">
        <v>669</v>
      </c>
      <c r="C467" s="42" t="s">
        <v>79</v>
      </c>
      <c r="D467" s="61" t="s">
        <v>79</v>
      </c>
    </row>
    <row r="468">
      <c r="A468" s="75" t="s">
        <v>681</v>
      </c>
      <c r="B468" s="73" t="s">
        <v>669</v>
      </c>
      <c r="C468" s="42" t="s">
        <v>79</v>
      </c>
      <c r="D468" s="61" t="s">
        <v>79</v>
      </c>
    </row>
    <row r="469">
      <c r="A469" s="74" t="s">
        <v>682</v>
      </c>
      <c r="B469" s="73" t="s">
        <v>669</v>
      </c>
      <c r="C469" s="42" t="s">
        <v>79</v>
      </c>
      <c r="D469" s="61" t="s">
        <v>79</v>
      </c>
    </row>
    <row r="470">
      <c r="A470" s="74" t="s">
        <v>683</v>
      </c>
      <c r="B470" s="73" t="s">
        <v>669</v>
      </c>
      <c r="C470" s="42" t="s">
        <v>79</v>
      </c>
      <c r="D470" s="61" t="s">
        <v>79</v>
      </c>
    </row>
    <row r="471">
      <c r="A471" s="74" t="s">
        <v>684</v>
      </c>
      <c r="B471" s="73" t="s">
        <v>669</v>
      </c>
      <c r="C471" s="42" t="s">
        <v>79</v>
      </c>
      <c r="D471" s="61" t="s">
        <v>79</v>
      </c>
    </row>
    <row r="472">
      <c r="A472" s="74" t="s">
        <v>685</v>
      </c>
      <c r="B472" s="73" t="s">
        <v>669</v>
      </c>
      <c r="C472" s="42" t="s">
        <v>79</v>
      </c>
      <c r="D472" s="61" t="s">
        <v>79</v>
      </c>
    </row>
    <row r="473">
      <c r="A473" s="75" t="s">
        <v>686</v>
      </c>
      <c r="B473" s="73" t="s">
        <v>669</v>
      </c>
      <c r="C473" s="42" t="s">
        <v>79</v>
      </c>
      <c r="D473" s="61" t="s">
        <v>79</v>
      </c>
    </row>
    <row r="474">
      <c r="A474" s="74" t="s">
        <v>687</v>
      </c>
      <c r="B474" s="73" t="s">
        <v>669</v>
      </c>
      <c r="C474" s="42" t="s">
        <v>79</v>
      </c>
      <c r="D474" s="61" t="s">
        <v>79</v>
      </c>
    </row>
    <row r="475">
      <c r="A475" s="74" t="s">
        <v>688</v>
      </c>
      <c r="B475" s="73" t="s">
        <v>669</v>
      </c>
      <c r="C475" s="42" t="s">
        <v>79</v>
      </c>
      <c r="D475" s="61" t="s">
        <v>79</v>
      </c>
    </row>
    <row r="476">
      <c r="A476" s="74" t="s">
        <v>689</v>
      </c>
      <c r="B476" s="73" t="s">
        <v>690</v>
      </c>
      <c r="C476" s="42" t="s">
        <v>79</v>
      </c>
      <c r="D476" s="61" t="s">
        <v>79</v>
      </c>
    </row>
    <row r="477">
      <c r="A477" s="74" t="s">
        <v>691</v>
      </c>
      <c r="B477" s="73" t="s">
        <v>690</v>
      </c>
      <c r="C477" s="42" t="s">
        <v>79</v>
      </c>
      <c r="D477" s="61" t="s">
        <v>79</v>
      </c>
    </row>
    <row r="478">
      <c r="A478" s="74" t="s">
        <v>692</v>
      </c>
      <c r="B478" s="73" t="s">
        <v>690</v>
      </c>
      <c r="C478" s="42" t="s">
        <v>79</v>
      </c>
      <c r="D478" s="61" t="s">
        <v>79</v>
      </c>
    </row>
    <row r="479">
      <c r="A479" s="74" t="s">
        <v>693</v>
      </c>
      <c r="B479" s="73" t="s">
        <v>690</v>
      </c>
      <c r="C479" s="42" t="s">
        <v>79</v>
      </c>
      <c r="D479" s="61" t="s">
        <v>79</v>
      </c>
    </row>
    <row r="480">
      <c r="A480" s="74" t="s">
        <v>694</v>
      </c>
      <c r="B480" s="73" t="s">
        <v>690</v>
      </c>
      <c r="C480" s="42" t="s">
        <v>79</v>
      </c>
      <c r="D480" s="61" t="s">
        <v>79</v>
      </c>
    </row>
    <row r="481">
      <c r="A481" s="74" t="s">
        <v>695</v>
      </c>
      <c r="B481" s="73" t="s">
        <v>690</v>
      </c>
      <c r="C481" s="42" t="s">
        <v>79</v>
      </c>
      <c r="D481" s="61" t="s">
        <v>79</v>
      </c>
    </row>
    <row r="482">
      <c r="A482" s="74" t="s">
        <v>696</v>
      </c>
      <c r="B482" s="73" t="s">
        <v>690</v>
      </c>
      <c r="C482" s="42" t="s">
        <v>79</v>
      </c>
      <c r="D482" s="61" t="s">
        <v>79</v>
      </c>
    </row>
    <row r="483">
      <c r="A483" s="74" t="s">
        <v>697</v>
      </c>
      <c r="B483" s="73" t="s">
        <v>690</v>
      </c>
      <c r="C483" s="42" t="s">
        <v>79</v>
      </c>
      <c r="D483" s="61" t="s">
        <v>79</v>
      </c>
    </row>
    <row r="484">
      <c r="A484" s="74" t="s">
        <v>698</v>
      </c>
      <c r="B484" s="73" t="s">
        <v>690</v>
      </c>
      <c r="C484" s="42" t="s">
        <v>79</v>
      </c>
      <c r="D484" s="61" t="s">
        <v>79</v>
      </c>
    </row>
    <row r="485">
      <c r="A485" s="74" t="s">
        <v>699</v>
      </c>
      <c r="B485" s="73" t="s">
        <v>690</v>
      </c>
      <c r="C485" s="42" t="s">
        <v>79</v>
      </c>
      <c r="D485" s="61" t="s">
        <v>79</v>
      </c>
    </row>
    <row r="486">
      <c r="A486" s="74" t="s">
        <v>700</v>
      </c>
      <c r="B486" s="73" t="s">
        <v>690</v>
      </c>
      <c r="C486" s="42" t="s">
        <v>79</v>
      </c>
      <c r="D486" s="61" t="s">
        <v>79</v>
      </c>
    </row>
    <row r="487">
      <c r="A487" s="74" t="s">
        <v>701</v>
      </c>
      <c r="B487" s="73" t="s">
        <v>690</v>
      </c>
      <c r="C487" s="42" t="s">
        <v>79</v>
      </c>
      <c r="D487" s="61" t="s">
        <v>79</v>
      </c>
    </row>
    <row r="488">
      <c r="A488" s="75" t="s">
        <v>702</v>
      </c>
      <c r="B488" s="73" t="s">
        <v>690</v>
      </c>
      <c r="C488" s="42" t="s">
        <v>79</v>
      </c>
      <c r="D488" s="61" t="s">
        <v>79</v>
      </c>
    </row>
    <row r="489">
      <c r="A489" s="74" t="s">
        <v>703</v>
      </c>
      <c r="B489" s="73" t="s">
        <v>278</v>
      </c>
      <c r="C489" s="42" t="s">
        <v>79</v>
      </c>
      <c r="D489" s="61" t="s">
        <v>79</v>
      </c>
    </row>
    <row r="490">
      <c r="A490" s="74" t="s">
        <v>703</v>
      </c>
      <c r="B490" s="73" t="s">
        <v>278</v>
      </c>
      <c r="C490" s="42" t="s">
        <v>79</v>
      </c>
      <c r="D490" s="61" t="s">
        <v>79</v>
      </c>
    </row>
    <row r="491">
      <c r="A491" s="74" t="s">
        <v>704</v>
      </c>
      <c r="B491" s="73" t="s">
        <v>278</v>
      </c>
      <c r="C491" s="42" t="s">
        <v>79</v>
      </c>
      <c r="D491" s="61" t="s">
        <v>79</v>
      </c>
    </row>
    <row r="492">
      <c r="A492" s="74" t="s">
        <v>705</v>
      </c>
      <c r="B492" s="73" t="s">
        <v>278</v>
      </c>
      <c r="C492" s="42" t="s">
        <v>79</v>
      </c>
      <c r="D492" s="61" t="s">
        <v>79</v>
      </c>
    </row>
    <row r="493">
      <c r="A493" s="74" t="s">
        <v>706</v>
      </c>
      <c r="B493" s="73" t="s">
        <v>278</v>
      </c>
      <c r="C493" s="42" t="s">
        <v>79</v>
      </c>
      <c r="D493" s="61" t="s">
        <v>79</v>
      </c>
    </row>
    <row r="494">
      <c r="A494" s="75" t="s">
        <v>707</v>
      </c>
      <c r="B494" s="73" t="s">
        <v>278</v>
      </c>
      <c r="C494" s="42" t="s">
        <v>79</v>
      </c>
      <c r="D494" s="61" t="s">
        <v>79</v>
      </c>
    </row>
    <row r="495">
      <c r="A495" s="74" t="s">
        <v>708</v>
      </c>
      <c r="B495" s="73" t="s">
        <v>278</v>
      </c>
      <c r="C495" s="42" t="s">
        <v>79</v>
      </c>
      <c r="D495" s="61" t="s">
        <v>79</v>
      </c>
    </row>
    <row r="496">
      <c r="A496" s="74" t="s">
        <v>709</v>
      </c>
      <c r="B496" s="73" t="s">
        <v>278</v>
      </c>
      <c r="C496" s="42" t="s">
        <v>79</v>
      </c>
      <c r="D496" s="61" t="s">
        <v>79</v>
      </c>
    </row>
    <row r="497">
      <c r="A497" s="74" t="s">
        <v>710</v>
      </c>
      <c r="B497" s="73" t="s">
        <v>278</v>
      </c>
      <c r="C497" s="42" t="s">
        <v>79</v>
      </c>
      <c r="D497" s="61" t="s">
        <v>79</v>
      </c>
    </row>
    <row r="498">
      <c r="A498" s="74" t="s">
        <v>711</v>
      </c>
      <c r="B498" s="73" t="s">
        <v>278</v>
      </c>
      <c r="C498" s="42" t="s">
        <v>79</v>
      </c>
      <c r="D498" s="61" t="s">
        <v>79</v>
      </c>
    </row>
    <row r="499">
      <c r="A499" s="74" t="s">
        <v>712</v>
      </c>
      <c r="B499" s="73" t="s">
        <v>713</v>
      </c>
      <c r="C499" s="42" t="s">
        <v>79</v>
      </c>
      <c r="D499" s="61" t="s">
        <v>79</v>
      </c>
    </row>
    <row r="500">
      <c r="A500" s="74" t="s">
        <v>714</v>
      </c>
      <c r="B500" s="73" t="s">
        <v>713</v>
      </c>
      <c r="C500" s="42" t="s">
        <v>79</v>
      </c>
      <c r="D500" s="61" t="s">
        <v>79</v>
      </c>
    </row>
    <row r="501">
      <c r="A501" s="75" t="s">
        <v>715</v>
      </c>
      <c r="B501" s="73" t="s">
        <v>713</v>
      </c>
      <c r="C501" s="42" t="s">
        <v>79</v>
      </c>
      <c r="D501" s="61" t="s">
        <v>79</v>
      </c>
    </row>
    <row r="502">
      <c r="A502" s="74" t="s">
        <v>716</v>
      </c>
      <c r="B502" s="73" t="s">
        <v>713</v>
      </c>
      <c r="C502" s="42" t="s">
        <v>79</v>
      </c>
      <c r="D502" s="61" t="s">
        <v>79</v>
      </c>
    </row>
    <row r="503">
      <c r="A503" s="75" t="s">
        <v>717</v>
      </c>
      <c r="B503" s="73" t="s">
        <v>713</v>
      </c>
      <c r="C503" s="42" t="s">
        <v>79</v>
      </c>
      <c r="D503" s="61" t="s">
        <v>79</v>
      </c>
    </row>
    <row r="504">
      <c r="A504" s="74" t="s">
        <v>718</v>
      </c>
      <c r="B504" s="73" t="s">
        <v>713</v>
      </c>
      <c r="C504" s="42" t="s">
        <v>79</v>
      </c>
      <c r="D504" s="61" t="s">
        <v>79</v>
      </c>
    </row>
    <row r="505">
      <c r="A505" s="74" t="s">
        <v>719</v>
      </c>
      <c r="B505" s="73" t="s">
        <v>713</v>
      </c>
      <c r="C505" s="42" t="s">
        <v>79</v>
      </c>
      <c r="D505" s="61" t="s">
        <v>79</v>
      </c>
    </row>
    <row r="506">
      <c r="A506" s="74" t="s">
        <v>720</v>
      </c>
      <c r="B506" s="73" t="s">
        <v>713</v>
      </c>
      <c r="C506" s="42" t="s">
        <v>79</v>
      </c>
      <c r="D506" s="61" t="s">
        <v>79</v>
      </c>
    </row>
    <row r="507">
      <c r="A507" s="74" t="s">
        <v>721</v>
      </c>
      <c r="B507" s="73" t="s">
        <v>713</v>
      </c>
      <c r="C507" s="42" t="s">
        <v>79</v>
      </c>
      <c r="D507" s="61" t="s">
        <v>79</v>
      </c>
    </row>
    <row r="508">
      <c r="A508" s="74" t="s">
        <v>722</v>
      </c>
      <c r="B508" s="73" t="s">
        <v>336</v>
      </c>
      <c r="C508" s="42" t="s">
        <v>79</v>
      </c>
      <c r="D508" s="60"/>
    </row>
    <row r="509">
      <c r="A509" s="74" t="s">
        <v>723</v>
      </c>
      <c r="B509" s="73" t="s">
        <v>336</v>
      </c>
      <c r="C509" s="42" t="s">
        <v>79</v>
      </c>
      <c r="D509" s="60"/>
    </row>
    <row r="510">
      <c r="A510" s="74" t="s">
        <v>724</v>
      </c>
      <c r="B510" s="73" t="s">
        <v>336</v>
      </c>
      <c r="C510" s="42" t="s">
        <v>79</v>
      </c>
      <c r="D510" s="60"/>
    </row>
    <row r="511">
      <c r="A511" s="74" t="s">
        <v>724</v>
      </c>
      <c r="B511" s="73" t="s">
        <v>336</v>
      </c>
      <c r="C511" s="42" t="s">
        <v>79</v>
      </c>
      <c r="D511" s="60"/>
    </row>
    <row r="512">
      <c r="A512" s="74" t="s">
        <v>725</v>
      </c>
      <c r="B512" s="73" t="s">
        <v>336</v>
      </c>
      <c r="C512" s="42" t="s">
        <v>79</v>
      </c>
      <c r="D512" s="60"/>
    </row>
    <row r="513">
      <c r="A513" s="74" t="s">
        <v>726</v>
      </c>
      <c r="B513" s="73" t="s">
        <v>336</v>
      </c>
      <c r="C513" s="42" t="s">
        <v>79</v>
      </c>
      <c r="D513" s="60"/>
    </row>
    <row r="514">
      <c r="A514" s="74" t="s">
        <v>727</v>
      </c>
      <c r="B514" s="73" t="s">
        <v>336</v>
      </c>
      <c r="C514" s="42" t="s">
        <v>79</v>
      </c>
      <c r="D514" s="60"/>
    </row>
    <row r="515">
      <c r="A515" s="74" t="s">
        <v>728</v>
      </c>
      <c r="B515" s="73" t="s">
        <v>336</v>
      </c>
      <c r="C515" s="42" t="s">
        <v>79</v>
      </c>
      <c r="D515" s="60"/>
    </row>
    <row r="516">
      <c r="A516" s="74" t="s">
        <v>729</v>
      </c>
      <c r="B516" s="73" t="s">
        <v>336</v>
      </c>
      <c r="C516" s="42" t="s">
        <v>79</v>
      </c>
      <c r="D516" s="60"/>
    </row>
    <row r="517">
      <c r="A517" s="74" t="s">
        <v>730</v>
      </c>
      <c r="B517" s="73" t="s">
        <v>336</v>
      </c>
      <c r="C517" s="42" t="s">
        <v>79</v>
      </c>
      <c r="D517" s="60"/>
    </row>
    <row r="518">
      <c r="A518" s="74" t="s">
        <v>731</v>
      </c>
      <c r="B518" s="73" t="s">
        <v>336</v>
      </c>
      <c r="C518" s="42" t="s">
        <v>79</v>
      </c>
      <c r="D518" s="60"/>
    </row>
    <row r="519">
      <c r="A519" s="74" t="s">
        <v>732</v>
      </c>
      <c r="B519" s="73" t="s">
        <v>336</v>
      </c>
      <c r="C519" s="42" t="s">
        <v>79</v>
      </c>
      <c r="D519" s="60"/>
    </row>
    <row r="520">
      <c r="A520" s="74" t="s">
        <v>733</v>
      </c>
      <c r="B520" s="73" t="s">
        <v>336</v>
      </c>
      <c r="C520" s="42" t="s">
        <v>79</v>
      </c>
      <c r="D520" s="60"/>
    </row>
    <row r="521">
      <c r="A521" s="74" t="s">
        <v>734</v>
      </c>
      <c r="B521" s="73" t="s">
        <v>336</v>
      </c>
      <c r="C521" s="42" t="s">
        <v>79</v>
      </c>
      <c r="D521" s="60"/>
    </row>
    <row r="522">
      <c r="A522" s="74" t="s">
        <v>735</v>
      </c>
      <c r="B522" s="73" t="s">
        <v>336</v>
      </c>
      <c r="C522" s="42" t="s">
        <v>79</v>
      </c>
      <c r="D522" s="61" t="s">
        <v>79</v>
      </c>
    </row>
    <row r="523">
      <c r="A523" s="74" t="s">
        <v>736</v>
      </c>
      <c r="B523" s="73" t="s">
        <v>336</v>
      </c>
      <c r="C523" s="42" t="s">
        <v>79</v>
      </c>
      <c r="D523" s="60"/>
    </row>
    <row r="524">
      <c r="A524" s="74" t="s">
        <v>737</v>
      </c>
      <c r="B524" s="73" t="s">
        <v>336</v>
      </c>
      <c r="C524" s="42" t="s">
        <v>79</v>
      </c>
      <c r="D524" s="60"/>
    </row>
    <row r="525">
      <c r="A525" s="74" t="s">
        <v>738</v>
      </c>
      <c r="B525" s="73" t="s">
        <v>336</v>
      </c>
      <c r="C525" s="42" t="s">
        <v>79</v>
      </c>
      <c r="D525" s="61" t="s">
        <v>79</v>
      </c>
    </row>
    <row r="526">
      <c r="A526" s="74" t="s">
        <v>739</v>
      </c>
      <c r="B526" s="73" t="s">
        <v>336</v>
      </c>
      <c r="C526" s="42" t="s">
        <v>79</v>
      </c>
      <c r="D526" s="60"/>
    </row>
    <row r="527">
      <c r="A527" s="74" t="s">
        <v>740</v>
      </c>
      <c r="B527" s="73" t="s">
        <v>336</v>
      </c>
      <c r="C527" s="42" t="s">
        <v>79</v>
      </c>
      <c r="D527" s="61" t="s">
        <v>79</v>
      </c>
    </row>
    <row r="528">
      <c r="A528" s="74" t="s">
        <v>741</v>
      </c>
      <c r="B528" s="73" t="s">
        <v>336</v>
      </c>
      <c r="C528" s="42" t="s">
        <v>79</v>
      </c>
      <c r="D528" s="60"/>
    </row>
    <row r="529">
      <c r="A529" s="74" t="s">
        <v>742</v>
      </c>
      <c r="B529" s="73" t="s">
        <v>336</v>
      </c>
      <c r="C529" s="42" t="s">
        <v>79</v>
      </c>
      <c r="D529" s="60"/>
    </row>
    <row r="530">
      <c r="A530" s="74" t="s">
        <v>743</v>
      </c>
      <c r="B530" s="73" t="s">
        <v>336</v>
      </c>
      <c r="C530" s="42" t="s">
        <v>79</v>
      </c>
      <c r="D530" s="60"/>
    </row>
    <row r="531">
      <c r="A531" s="74" t="s">
        <v>744</v>
      </c>
      <c r="B531" s="73" t="s">
        <v>336</v>
      </c>
      <c r="C531" s="42" t="s">
        <v>79</v>
      </c>
      <c r="D531" s="60"/>
    </row>
    <row r="532">
      <c r="A532" s="74" t="s">
        <v>745</v>
      </c>
      <c r="B532" s="73" t="s">
        <v>336</v>
      </c>
      <c r="C532" s="42" t="s">
        <v>79</v>
      </c>
      <c r="D532" s="60"/>
    </row>
    <row r="533">
      <c r="A533" s="74" t="s">
        <v>745</v>
      </c>
      <c r="B533" s="73" t="s">
        <v>336</v>
      </c>
      <c r="C533" s="42" t="s">
        <v>79</v>
      </c>
      <c r="D533" s="60"/>
    </row>
    <row r="534">
      <c r="A534" s="74" t="s">
        <v>746</v>
      </c>
      <c r="B534" s="73" t="s">
        <v>747</v>
      </c>
      <c r="C534" s="42" t="s">
        <v>79</v>
      </c>
      <c r="D534" s="60"/>
    </row>
    <row r="535">
      <c r="A535" s="74" t="s">
        <v>748</v>
      </c>
      <c r="B535" s="73" t="s">
        <v>237</v>
      </c>
      <c r="C535" s="42" t="s">
        <v>79</v>
      </c>
      <c r="D535" s="60"/>
    </row>
    <row r="536">
      <c r="A536" s="74" t="s">
        <v>748</v>
      </c>
      <c r="B536" s="73" t="s">
        <v>237</v>
      </c>
      <c r="C536" s="42" t="s">
        <v>79</v>
      </c>
      <c r="D536" s="60"/>
    </row>
    <row r="537">
      <c r="A537" s="74" t="s">
        <v>748</v>
      </c>
      <c r="B537" s="73" t="s">
        <v>237</v>
      </c>
      <c r="C537" s="42" t="s">
        <v>79</v>
      </c>
      <c r="D537" s="60"/>
    </row>
    <row r="538">
      <c r="A538" s="74" t="s">
        <v>749</v>
      </c>
      <c r="B538" s="73" t="s">
        <v>237</v>
      </c>
      <c r="C538" s="42" t="s">
        <v>79</v>
      </c>
      <c r="D538" s="60"/>
    </row>
    <row r="539">
      <c r="A539" s="74" t="s">
        <v>750</v>
      </c>
      <c r="B539" s="73" t="s">
        <v>237</v>
      </c>
      <c r="C539" s="42" t="s">
        <v>79</v>
      </c>
      <c r="D539" s="60"/>
    </row>
    <row r="540">
      <c r="A540" s="74" t="s">
        <v>751</v>
      </c>
      <c r="B540" s="73" t="s">
        <v>237</v>
      </c>
      <c r="C540" s="42" t="s">
        <v>79</v>
      </c>
      <c r="D540" s="60"/>
    </row>
    <row r="541">
      <c r="A541" s="74" t="s">
        <v>751</v>
      </c>
      <c r="B541" s="73" t="s">
        <v>237</v>
      </c>
      <c r="C541" s="42" t="s">
        <v>79</v>
      </c>
      <c r="D541" s="60"/>
    </row>
    <row r="542">
      <c r="A542" s="74" t="s">
        <v>752</v>
      </c>
      <c r="B542" s="73" t="s">
        <v>237</v>
      </c>
      <c r="C542" s="42" t="s">
        <v>79</v>
      </c>
      <c r="D542" s="60"/>
    </row>
    <row r="543">
      <c r="A543" s="74" t="s">
        <v>753</v>
      </c>
      <c r="B543" s="73" t="s">
        <v>237</v>
      </c>
      <c r="C543" s="42" t="s">
        <v>79</v>
      </c>
      <c r="D543" s="60"/>
    </row>
    <row r="544">
      <c r="A544" s="74" t="s">
        <v>754</v>
      </c>
      <c r="B544" s="73" t="s">
        <v>237</v>
      </c>
      <c r="C544" s="42" t="s">
        <v>79</v>
      </c>
      <c r="D544" s="60"/>
    </row>
    <row r="545">
      <c r="A545" s="74" t="s">
        <v>755</v>
      </c>
      <c r="B545" s="73" t="s">
        <v>237</v>
      </c>
      <c r="C545" s="42" t="s">
        <v>79</v>
      </c>
      <c r="D545" s="60"/>
    </row>
    <row r="546">
      <c r="A546" s="74" t="s">
        <v>755</v>
      </c>
      <c r="B546" s="73" t="s">
        <v>237</v>
      </c>
      <c r="C546" s="42" t="s">
        <v>79</v>
      </c>
      <c r="D546" s="60"/>
    </row>
    <row r="547">
      <c r="A547" s="74" t="s">
        <v>755</v>
      </c>
      <c r="B547" s="73" t="s">
        <v>237</v>
      </c>
      <c r="C547" s="42" t="s">
        <v>79</v>
      </c>
      <c r="D547" s="60"/>
    </row>
    <row r="548">
      <c r="A548" s="74" t="s">
        <v>755</v>
      </c>
      <c r="B548" s="73" t="s">
        <v>237</v>
      </c>
      <c r="C548" s="42" t="s">
        <v>79</v>
      </c>
      <c r="D548" s="60"/>
    </row>
    <row r="549">
      <c r="A549" s="74" t="s">
        <v>755</v>
      </c>
      <c r="B549" s="73" t="s">
        <v>237</v>
      </c>
      <c r="C549" s="42" t="s">
        <v>79</v>
      </c>
      <c r="D549" s="60"/>
    </row>
    <row r="550">
      <c r="A550" s="74" t="s">
        <v>755</v>
      </c>
      <c r="B550" s="73" t="s">
        <v>237</v>
      </c>
      <c r="C550" s="42" t="s">
        <v>79</v>
      </c>
      <c r="D550" s="60"/>
    </row>
    <row r="551">
      <c r="A551" s="74" t="s">
        <v>756</v>
      </c>
      <c r="B551" s="73" t="s">
        <v>424</v>
      </c>
      <c r="C551" s="42" t="s">
        <v>79</v>
      </c>
      <c r="D551" s="60"/>
    </row>
    <row r="552">
      <c r="A552" s="74" t="s">
        <v>757</v>
      </c>
      <c r="B552" s="73" t="s">
        <v>424</v>
      </c>
      <c r="C552" s="42" t="s">
        <v>79</v>
      </c>
      <c r="D552" s="60"/>
    </row>
    <row r="553">
      <c r="A553" s="74" t="s">
        <v>758</v>
      </c>
      <c r="B553" s="73" t="s">
        <v>424</v>
      </c>
      <c r="C553" s="42" t="s">
        <v>79</v>
      </c>
      <c r="D553" s="60"/>
    </row>
    <row r="554">
      <c r="A554" s="74" t="s">
        <v>759</v>
      </c>
      <c r="B554" s="73" t="s">
        <v>424</v>
      </c>
      <c r="C554" s="42" t="s">
        <v>79</v>
      </c>
      <c r="D554" s="60"/>
    </row>
    <row r="555">
      <c r="A555" s="74" t="s">
        <v>760</v>
      </c>
      <c r="B555" s="73" t="s">
        <v>424</v>
      </c>
      <c r="C555" s="42" t="s">
        <v>79</v>
      </c>
      <c r="D555" s="60"/>
    </row>
    <row r="556">
      <c r="A556" s="74" t="s">
        <v>761</v>
      </c>
      <c r="B556" s="73" t="s">
        <v>424</v>
      </c>
      <c r="C556" s="42" t="s">
        <v>79</v>
      </c>
      <c r="D556" s="60"/>
    </row>
    <row r="557">
      <c r="A557" s="74" t="s">
        <v>762</v>
      </c>
      <c r="B557" s="73" t="s">
        <v>424</v>
      </c>
      <c r="C557" s="42" t="s">
        <v>79</v>
      </c>
      <c r="D557" s="60"/>
    </row>
    <row r="558">
      <c r="A558" s="74" t="s">
        <v>763</v>
      </c>
      <c r="B558" s="73" t="s">
        <v>424</v>
      </c>
      <c r="C558" s="42" t="s">
        <v>79</v>
      </c>
      <c r="D558" s="60"/>
    </row>
    <row r="559">
      <c r="A559" s="74" t="s">
        <v>764</v>
      </c>
      <c r="B559" s="73" t="s">
        <v>424</v>
      </c>
      <c r="C559" s="42" t="s">
        <v>79</v>
      </c>
      <c r="D559" s="60"/>
    </row>
    <row r="560">
      <c r="A560" s="74" t="s">
        <v>765</v>
      </c>
      <c r="B560" s="73" t="s">
        <v>424</v>
      </c>
      <c r="C560" s="42" t="s">
        <v>79</v>
      </c>
      <c r="D560" s="60"/>
    </row>
    <row r="561">
      <c r="A561" s="74" t="s">
        <v>766</v>
      </c>
      <c r="B561" s="73" t="s">
        <v>767</v>
      </c>
      <c r="C561" s="42" t="s">
        <v>79</v>
      </c>
      <c r="D561" s="60"/>
    </row>
    <row r="562">
      <c r="A562" s="74" t="s">
        <v>768</v>
      </c>
      <c r="B562" s="73" t="s">
        <v>767</v>
      </c>
      <c r="C562" s="42" t="s">
        <v>79</v>
      </c>
      <c r="D562" s="60"/>
    </row>
    <row r="563">
      <c r="A563" s="74" t="s">
        <v>769</v>
      </c>
      <c r="B563" s="73" t="s">
        <v>767</v>
      </c>
      <c r="C563" s="42" t="s">
        <v>79</v>
      </c>
      <c r="D563" s="60"/>
    </row>
    <row r="564">
      <c r="A564" s="74" t="s">
        <v>770</v>
      </c>
      <c r="B564" s="73" t="s">
        <v>767</v>
      </c>
      <c r="C564" s="42" t="s">
        <v>79</v>
      </c>
      <c r="D564" s="60"/>
    </row>
    <row r="565">
      <c r="A565" s="74" t="s">
        <v>771</v>
      </c>
      <c r="B565" s="73" t="s">
        <v>767</v>
      </c>
      <c r="C565" s="42" t="s">
        <v>79</v>
      </c>
      <c r="D565" s="60"/>
    </row>
    <row r="566">
      <c r="A566" s="74" t="s">
        <v>772</v>
      </c>
      <c r="B566" s="73" t="s">
        <v>767</v>
      </c>
      <c r="C566" s="42" t="s">
        <v>79</v>
      </c>
      <c r="D566" s="60"/>
    </row>
    <row r="567">
      <c r="A567" s="74" t="s">
        <v>773</v>
      </c>
      <c r="B567" s="73" t="s">
        <v>767</v>
      </c>
      <c r="C567" s="42" t="s">
        <v>79</v>
      </c>
      <c r="D567" s="60"/>
    </row>
    <row r="568">
      <c r="A568" s="74" t="s">
        <v>774</v>
      </c>
      <c r="B568" s="73" t="s">
        <v>767</v>
      </c>
      <c r="C568" s="42" t="s">
        <v>79</v>
      </c>
      <c r="D568" s="60"/>
    </row>
    <row r="569">
      <c r="A569" s="74" t="s">
        <v>775</v>
      </c>
      <c r="B569" s="73" t="s">
        <v>767</v>
      </c>
      <c r="C569" s="42" t="s">
        <v>79</v>
      </c>
      <c r="D569" s="60"/>
    </row>
    <row r="570">
      <c r="A570" s="74" t="s">
        <v>776</v>
      </c>
      <c r="B570" s="73" t="s">
        <v>767</v>
      </c>
      <c r="C570" s="42" t="s">
        <v>79</v>
      </c>
      <c r="D570" s="60"/>
    </row>
    <row r="571">
      <c r="A571" s="74" t="s">
        <v>777</v>
      </c>
      <c r="B571" s="73" t="s">
        <v>767</v>
      </c>
      <c r="C571" s="42" t="s">
        <v>79</v>
      </c>
      <c r="D571" s="60"/>
    </row>
    <row r="572">
      <c r="A572" s="74" t="s">
        <v>778</v>
      </c>
      <c r="B572" s="73" t="s">
        <v>767</v>
      </c>
      <c r="C572" s="42" t="s">
        <v>79</v>
      </c>
      <c r="D572" s="60"/>
    </row>
    <row r="573">
      <c r="A573" s="74" t="s">
        <v>779</v>
      </c>
      <c r="B573" s="73" t="s">
        <v>767</v>
      </c>
      <c r="C573" s="42" t="s">
        <v>79</v>
      </c>
      <c r="D573" s="60"/>
    </row>
    <row r="574">
      <c r="A574" s="74" t="s">
        <v>780</v>
      </c>
      <c r="B574" s="73" t="s">
        <v>767</v>
      </c>
      <c r="C574" s="42" t="s">
        <v>79</v>
      </c>
      <c r="D574" s="60"/>
    </row>
    <row r="575">
      <c r="A575" s="74" t="s">
        <v>774</v>
      </c>
      <c r="B575" s="73" t="s">
        <v>767</v>
      </c>
      <c r="C575" s="42" t="s">
        <v>79</v>
      </c>
      <c r="D575" s="60"/>
    </row>
    <row r="576">
      <c r="A576" s="74" t="s">
        <v>781</v>
      </c>
      <c r="B576" s="73" t="s">
        <v>767</v>
      </c>
      <c r="C576" s="42" t="s">
        <v>79</v>
      </c>
      <c r="D576" s="60"/>
    </row>
    <row r="577">
      <c r="A577" s="74" t="s">
        <v>782</v>
      </c>
      <c r="B577" s="73" t="s">
        <v>354</v>
      </c>
      <c r="C577" s="42" t="s">
        <v>79</v>
      </c>
      <c r="D577" s="60"/>
    </row>
    <row r="578">
      <c r="A578" s="74" t="s">
        <v>783</v>
      </c>
      <c r="B578" s="73" t="s">
        <v>354</v>
      </c>
      <c r="C578" s="42" t="s">
        <v>79</v>
      </c>
      <c r="D578" s="60"/>
    </row>
    <row r="579">
      <c r="A579" s="74" t="s">
        <v>784</v>
      </c>
      <c r="B579" s="73" t="s">
        <v>354</v>
      </c>
      <c r="C579" s="42" t="s">
        <v>79</v>
      </c>
      <c r="D579" s="60"/>
    </row>
    <row r="580">
      <c r="A580" s="74" t="s">
        <v>785</v>
      </c>
      <c r="B580" s="73" t="s">
        <v>354</v>
      </c>
      <c r="C580" s="42" t="s">
        <v>79</v>
      </c>
      <c r="D580" s="60"/>
    </row>
    <row r="581">
      <c r="A581" s="74" t="s">
        <v>786</v>
      </c>
      <c r="B581" s="73" t="s">
        <v>354</v>
      </c>
      <c r="C581" s="42" t="s">
        <v>79</v>
      </c>
      <c r="D581" s="60"/>
    </row>
    <row r="582">
      <c r="A582" s="74" t="s">
        <v>787</v>
      </c>
      <c r="B582" s="73" t="s">
        <v>354</v>
      </c>
      <c r="C582" s="42" t="s">
        <v>79</v>
      </c>
      <c r="D582" s="60"/>
    </row>
    <row r="583">
      <c r="A583" s="74" t="s">
        <v>788</v>
      </c>
      <c r="B583" s="73" t="s">
        <v>354</v>
      </c>
      <c r="C583" s="42" t="s">
        <v>79</v>
      </c>
      <c r="D583" s="60"/>
    </row>
    <row r="584">
      <c r="A584" s="74" t="s">
        <v>789</v>
      </c>
      <c r="B584" s="73" t="s">
        <v>354</v>
      </c>
      <c r="C584" s="42" t="s">
        <v>79</v>
      </c>
      <c r="D584" s="60"/>
    </row>
    <row r="585">
      <c r="A585" s="74" t="s">
        <v>790</v>
      </c>
      <c r="B585" s="73" t="s">
        <v>354</v>
      </c>
      <c r="C585" s="42" t="s">
        <v>79</v>
      </c>
      <c r="D585" s="60"/>
    </row>
    <row r="586">
      <c r="A586" s="74" t="s">
        <v>791</v>
      </c>
      <c r="B586" s="73" t="s">
        <v>354</v>
      </c>
      <c r="C586" s="42" t="s">
        <v>79</v>
      </c>
      <c r="D586" s="60"/>
    </row>
    <row r="587">
      <c r="A587" s="74" t="s">
        <v>792</v>
      </c>
      <c r="B587" s="73" t="s">
        <v>354</v>
      </c>
      <c r="C587" s="42" t="s">
        <v>79</v>
      </c>
      <c r="D587" s="60"/>
    </row>
    <row r="588">
      <c r="A588" s="74" t="s">
        <v>793</v>
      </c>
      <c r="B588" s="73" t="s">
        <v>354</v>
      </c>
      <c r="C588" s="42" t="s">
        <v>79</v>
      </c>
      <c r="D588" s="60"/>
    </row>
    <row r="589">
      <c r="A589" s="74" t="s">
        <v>794</v>
      </c>
      <c r="B589" s="73" t="s">
        <v>317</v>
      </c>
      <c r="C589" s="42" t="s">
        <v>79</v>
      </c>
      <c r="D589" s="60"/>
    </row>
    <row r="590">
      <c r="A590" s="74" t="s">
        <v>795</v>
      </c>
      <c r="B590" s="73" t="s">
        <v>317</v>
      </c>
      <c r="C590" s="42" t="s">
        <v>79</v>
      </c>
      <c r="D590" s="60"/>
    </row>
    <row r="591">
      <c r="A591" s="74" t="s">
        <v>796</v>
      </c>
      <c r="B591" s="73" t="s">
        <v>317</v>
      </c>
      <c r="C591" s="42" t="s">
        <v>79</v>
      </c>
      <c r="D591" s="60"/>
    </row>
    <row r="592">
      <c r="A592" s="74" t="s">
        <v>797</v>
      </c>
      <c r="B592" s="73" t="s">
        <v>317</v>
      </c>
      <c r="C592" s="42" t="s">
        <v>79</v>
      </c>
      <c r="D592" s="60"/>
    </row>
    <row r="593">
      <c r="A593" s="74" t="s">
        <v>798</v>
      </c>
      <c r="B593" s="73" t="s">
        <v>317</v>
      </c>
      <c r="C593" s="42" t="s">
        <v>79</v>
      </c>
      <c r="D593" s="60"/>
    </row>
    <row r="594">
      <c r="A594" s="74" t="s">
        <v>799</v>
      </c>
      <c r="B594" s="73" t="s">
        <v>317</v>
      </c>
      <c r="C594" s="42" t="s">
        <v>79</v>
      </c>
      <c r="D594" s="60"/>
    </row>
    <row r="595">
      <c r="A595" s="74" t="s">
        <v>800</v>
      </c>
      <c r="B595" s="73" t="s">
        <v>317</v>
      </c>
      <c r="C595" s="42" t="s">
        <v>79</v>
      </c>
      <c r="D595" s="60"/>
    </row>
    <row r="596">
      <c r="A596" s="74" t="s">
        <v>801</v>
      </c>
      <c r="B596" s="73" t="s">
        <v>317</v>
      </c>
      <c r="C596" s="42" t="s">
        <v>79</v>
      </c>
      <c r="D596" s="60"/>
    </row>
    <row r="597">
      <c r="A597" s="74" t="s">
        <v>802</v>
      </c>
      <c r="B597" s="73" t="s">
        <v>317</v>
      </c>
      <c r="C597" s="42" t="s">
        <v>79</v>
      </c>
      <c r="D597" s="60"/>
    </row>
    <row r="598">
      <c r="A598" s="74" t="s">
        <v>803</v>
      </c>
      <c r="B598" s="73" t="s">
        <v>336</v>
      </c>
      <c r="C598" s="42" t="s">
        <v>79</v>
      </c>
      <c r="D598" s="60"/>
    </row>
    <row r="599">
      <c r="A599" s="74" t="s">
        <v>804</v>
      </c>
      <c r="B599" s="73" t="s">
        <v>336</v>
      </c>
      <c r="C599" s="42" t="s">
        <v>79</v>
      </c>
      <c r="D599" s="60"/>
    </row>
    <row r="600">
      <c r="A600" s="74" t="s">
        <v>805</v>
      </c>
      <c r="B600" s="73" t="s">
        <v>336</v>
      </c>
      <c r="C600" s="42" t="s">
        <v>79</v>
      </c>
      <c r="D600" s="60"/>
    </row>
    <row r="601">
      <c r="A601" s="74" t="s">
        <v>806</v>
      </c>
      <c r="B601" s="73" t="s">
        <v>336</v>
      </c>
      <c r="C601" s="42" t="s">
        <v>79</v>
      </c>
      <c r="D601" s="60"/>
    </row>
    <row r="602">
      <c r="A602" s="74" t="s">
        <v>807</v>
      </c>
      <c r="B602" s="73" t="s">
        <v>336</v>
      </c>
      <c r="C602" s="42" t="s">
        <v>79</v>
      </c>
      <c r="D602" s="60"/>
    </row>
    <row r="603">
      <c r="A603" s="74" t="s">
        <v>808</v>
      </c>
      <c r="B603" s="73" t="s">
        <v>139</v>
      </c>
      <c r="C603" s="42" t="s">
        <v>79</v>
      </c>
      <c r="D603" s="60"/>
    </row>
    <row r="604">
      <c r="A604" s="74" t="s">
        <v>809</v>
      </c>
      <c r="B604" s="73" t="s">
        <v>139</v>
      </c>
      <c r="C604" s="42" t="s">
        <v>79</v>
      </c>
      <c r="D604" s="60"/>
    </row>
    <row r="605">
      <c r="A605" s="78" t="s">
        <v>810</v>
      </c>
      <c r="B605" s="73" t="s">
        <v>139</v>
      </c>
      <c r="C605" s="42" t="s">
        <v>79</v>
      </c>
      <c r="D605" s="60"/>
    </row>
    <row r="606">
      <c r="A606" s="78" t="s">
        <v>811</v>
      </c>
      <c r="B606" s="73" t="s">
        <v>139</v>
      </c>
      <c r="C606" s="42" t="s">
        <v>79</v>
      </c>
      <c r="D606" s="60"/>
    </row>
    <row r="607">
      <c r="A607" s="74" t="s">
        <v>812</v>
      </c>
      <c r="B607" s="73" t="s">
        <v>139</v>
      </c>
      <c r="C607" s="42" t="s">
        <v>79</v>
      </c>
      <c r="D607" s="60"/>
    </row>
    <row r="608">
      <c r="A608" s="74" t="s">
        <v>813</v>
      </c>
      <c r="B608" s="73" t="s">
        <v>139</v>
      </c>
      <c r="C608" s="42" t="s">
        <v>79</v>
      </c>
      <c r="D608" s="60"/>
    </row>
    <row r="609">
      <c r="A609" s="74" t="s">
        <v>814</v>
      </c>
      <c r="B609" s="73" t="s">
        <v>690</v>
      </c>
      <c r="C609" s="42" t="s">
        <v>79</v>
      </c>
      <c r="D609" s="60"/>
    </row>
    <row r="610">
      <c r="A610" s="74" t="s">
        <v>815</v>
      </c>
      <c r="B610" s="73" t="s">
        <v>690</v>
      </c>
      <c r="C610" s="42" t="s">
        <v>79</v>
      </c>
      <c r="D610" s="60"/>
    </row>
    <row r="611">
      <c r="A611" s="74" t="s">
        <v>816</v>
      </c>
      <c r="B611" s="73" t="s">
        <v>690</v>
      </c>
      <c r="C611" s="42" t="s">
        <v>79</v>
      </c>
      <c r="D611" s="60"/>
    </row>
    <row r="612">
      <c r="A612" s="74" t="s">
        <v>817</v>
      </c>
      <c r="B612" s="73" t="s">
        <v>690</v>
      </c>
      <c r="C612" s="42" t="s">
        <v>79</v>
      </c>
      <c r="D612" s="60"/>
    </row>
    <row r="613">
      <c r="A613" s="74" t="s">
        <v>818</v>
      </c>
      <c r="B613" s="73" t="s">
        <v>690</v>
      </c>
      <c r="C613" s="42" t="s">
        <v>79</v>
      </c>
      <c r="D613" s="60"/>
    </row>
    <row r="614">
      <c r="A614" s="78" t="s">
        <v>819</v>
      </c>
      <c r="B614" s="73" t="s">
        <v>690</v>
      </c>
      <c r="C614" s="42" t="s">
        <v>79</v>
      </c>
      <c r="D614" s="60"/>
    </row>
    <row r="615">
      <c r="A615" s="74" t="s">
        <v>820</v>
      </c>
      <c r="B615" s="73" t="s">
        <v>299</v>
      </c>
      <c r="C615" s="42" t="s">
        <v>79</v>
      </c>
      <c r="D615" s="60"/>
    </row>
    <row r="616">
      <c r="A616" s="74" t="s">
        <v>821</v>
      </c>
      <c r="B616" s="73" t="s">
        <v>299</v>
      </c>
      <c r="C616" s="42" t="s">
        <v>79</v>
      </c>
      <c r="D616" s="60"/>
    </row>
    <row r="617">
      <c r="A617" s="74" t="s">
        <v>822</v>
      </c>
      <c r="B617" s="73" t="s">
        <v>299</v>
      </c>
      <c r="C617" s="42" t="s">
        <v>79</v>
      </c>
      <c r="D617" s="60"/>
    </row>
    <row r="618">
      <c r="A618" s="74" t="s">
        <v>823</v>
      </c>
      <c r="B618" s="73" t="s">
        <v>299</v>
      </c>
      <c r="C618" s="42" t="s">
        <v>79</v>
      </c>
      <c r="D618" s="60"/>
    </row>
    <row r="619">
      <c r="A619" s="74" t="s">
        <v>824</v>
      </c>
      <c r="B619" s="73" t="s">
        <v>299</v>
      </c>
      <c r="C619" s="42" t="s">
        <v>79</v>
      </c>
      <c r="D619" s="60"/>
    </row>
    <row r="620">
      <c r="A620" s="78" t="s">
        <v>825</v>
      </c>
      <c r="B620" s="73" t="s">
        <v>299</v>
      </c>
      <c r="C620" s="42" t="s">
        <v>79</v>
      </c>
      <c r="D620" s="60"/>
    </row>
    <row r="621">
      <c r="A621" s="79" t="s">
        <v>826</v>
      </c>
      <c r="B621" s="73" t="s">
        <v>299</v>
      </c>
      <c r="C621" s="42" t="s">
        <v>79</v>
      </c>
      <c r="D621" s="60"/>
    </row>
    <row r="622">
      <c r="A622" s="74" t="s">
        <v>827</v>
      </c>
      <c r="B622" s="73" t="s">
        <v>299</v>
      </c>
      <c r="C622" s="42" t="s">
        <v>79</v>
      </c>
      <c r="D622" s="60"/>
    </row>
    <row r="623">
      <c r="A623" s="74" t="s">
        <v>828</v>
      </c>
      <c r="B623" s="73" t="s">
        <v>296</v>
      </c>
      <c r="C623" s="42" t="s">
        <v>79</v>
      </c>
      <c r="D623" s="60"/>
    </row>
    <row r="624">
      <c r="A624" s="74" t="s">
        <v>829</v>
      </c>
      <c r="B624" s="73" t="s">
        <v>296</v>
      </c>
      <c r="C624" s="42" t="s">
        <v>79</v>
      </c>
      <c r="D624" s="60"/>
    </row>
    <row r="625">
      <c r="A625" s="74" t="s">
        <v>830</v>
      </c>
      <c r="B625" s="73" t="s">
        <v>296</v>
      </c>
      <c r="C625" s="42" t="s">
        <v>79</v>
      </c>
      <c r="D625" s="60"/>
    </row>
    <row r="626">
      <c r="A626" s="74" t="s">
        <v>831</v>
      </c>
      <c r="B626" s="73" t="s">
        <v>296</v>
      </c>
      <c r="C626" s="42" t="s">
        <v>79</v>
      </c>
      <c r="D626" s="60"/>
    </row>
    <row r="627">
      <c r="A627" s="74" t="s">
        <v>832</v>
      </c>
      <c r="B627" s="73" t="s">
        <v>296</v>
      </c>
      <c r="C627" s="42" t="s">
        <v>79</v>
      </c>
      <c r="D627" s="60"/>
    </row>
    <row r="628">
      <c r="A628" s="74" t="s">
        <v>833</v>
      </c>
      <c r="B628" s="73" t="s">
        <v>296</v>
      </c>
      <c r="C628" s="42" t="s">
        <v>79</v>
      </c>
      <c r="D628" s="60"/>
    </row>
    <row r="629">
      <c r="A629" s="74" t="s">
        <v>834</v>
      </c>
      <c r="B629" s="73" t="s">
        <v>296</v>
      </c>
      <c r="C629" s="42" t="s">
        <v>79</v>
      </c>
      <c r="D629" s="60"/>
    </row>
    <row r="630">
      <c r="A630" s="74" t="s">
        <v>835</v>
      </c>
      <c r="B630" s="73" t="s">
        <v>296</v>
      </c>
      <c r="C630" s="42" t="s">
        <v>79</v>
      </c>
      <c r="D630" s="60"/>
    </row>
    <row r="631">
      <c r="A631" s="74" t="s">
        <v>836</v>
      </c>
      <c r="B631" s="73" t="s">
        <v>296</v>
      </c>
      <c r="C631" s="42" t="s">
        <v>79</v>
      </c>
      <c r="D631" s="60"/>
    </row>
    <row r="632">
      <c r="A632" s="74" t="s">
        <v>837</v>
      </c>
      <c r="B632" s="73" t="s">
        <v>296</v>
      </c>
      <c r="C632" s="42" t="s">
        <v>79</v>
      </c>
      <c r="D632" s="60"/>
    </row>
    <row r="633">
      <c r="A633" s="80" t="s">
        <v>838</v>
      </c>
      <c r="B633" s="81" t="s">
        <v>298</v>
      </c>
      <c r="C633" s="42" t="s">
        <v>79</v>
      </c>
      <c r="D633" s="61" t="s">
        <v>79</v>
      </c>
    </row>
    <row r="634">
      <c r="A634" s="80" t="s">
        <v>839</v>
      </c>
      <c r="B634" s="81" t="s">
        <v>298</v>
      </c>
      <c r="C634" s="42" t="s">
        <v>79</v>
      </c>
      <c r="D634" s="61" t="s">
        <v>79</v>
      </c>
    </row>
    <row r="635">
      <c r="A635" s="80" t="s">
        <v>839</v>
      </c>
      <c r="B635" s="81" t="s">
        <v>298</v>
      </c>
      <c r="C635" s="42" t="s">
        <v>79</v>
      </c>
      <c r="D635" s="61" t="s">
        <v>79</v>
      </c>
    </row>
    <row r="636">
      <c r="A636" s="80" t="s">
        <v>840</v>
      </c>
      <c r="B636" s="81" t="s">
        <v>298</v>
      </c>
      <c r="C636" s="42" t="s">
        <v>79</v>
      </c>
      <c r="D636" s="61" t="s">
        <v>79</v>
      </c>
    </row>
    <row r="637">
      <c r="A637" s="80" t="s">
        <v>841</v>
      </c>
      <c r="B637" s="81" t="s">
        <v>298</v>
      </c>
      <c r="C637" s="42" t="s">
        <v>79</v>
      </c>
      <c r="D637" s="61" t="s">
        <v>79</v>
      </c>
    </row>
    <row r="638">
      <c r="A638" s="80" t="s">
        <v>843</v>
      </c>
      <c r="B638" s="81" t="s">
        <v>298</v>
      </c>
      <c r="C638" s="42" t="s">
        <v>79</v>
      </c>
      <c r="D638" s="61" t="s">
        <v>79</v>
      </c>
    </row>
    <row r="639">
      <c r="A639" s="74" t="s">
        <v>844</v>
      </c>
      <c r="B639" s="73" t="s">
        <v>845</v>
      </c>
      <c r="C639" s="42" t="s">
        <v>79</v>
      </c>
      <c r="D639" s="61" t="s">
        <v>79</v>
      </c>
    </row>
    <row r="640">
      <c r="A640" s="74" t="s">
        <v>846</v>
      </c>
      <c r="B640" s="73" t="s">
        <v>845</v>
      </c>
      <c r="C640" s="42" t="s">
        <v>79</v>
      </c>
      <c r="D640" s="61" t="s">
        <v>79</v>
      </c>
    </row>
    <row r="641">
      <c r="A641" s="74" t="s">
        <v>847</v>
      </c>
      <c r="B641" s="73" t="s">
        <v>845</v>
      </c>
      <c r="C641" s="42" t="s">
        <v>79</v>
      </c>
      <c r="D641" s="61" t="s">
        <v>79</v>
      </c>
    </row>
    <row r="642">
      <c r="A642" s="74" t="s">
        <v>848</v>
      </c>
      <c r="B642" s="73" t="s">
        <v>845</v>
      </c>
      <c r="C642" s="42" t="s">
        <v>79</v>
      </c>
      <c r="D642" s="61" t="s">
        <v>79</v>
      </c>
    </row>
    <row r="643">
      <c r="A643" s="74" t="s">
        <v>849</v>
      </c>
      <c r="B643" s="73" t="s">
        <v>845</v>
      </c>
      <c r="C643" s="42" t="s">
        <v>79</v>
      </c>
      <c r="D643" s="61" t="s">
        <v>79</v>
      </c>
    </row>
    <row r="644">
      <c r="A644" s="74" t="s">
        <v>850</v>
      </c>
      <c r="B644" s="73" t="s">
        <v>845</v>
      </c>
      <c r="C644" s="42" t="s">
        <v>79</v>
      </c>
      <c r="D644" s="61" t="s">
        <v>79</v>
      </c>
    </row>
    <row r="645">
      <c r="A645" s="80" t="s">
        <v>851</v>
      </c>
      <c r="B645" s="81" t="s">
        <v>275</v>
      </c>
      <c r="C645" s="42" t="s">
        <v>79</v>
      </c>
      <c r="D645" s="61" t="s">
        <v>79</v>
      </c>
    </row>
    <row r="646">
      <c r="A646" s="80" t="s">
        <v>852</v>
      </c>
      <c r="B646" s="81" t="s">
        <v>275</v>
      </c>
      <c r="C646" s="42" t="s">
        <v>79</v>
      </c>
      <c r="D646" s="61" t="s">
        <v>79</v>
      </c>
    </row>
    <row r="647">
      <c r="A647" s="80" t="s">
        <v>853</v>
      </c>
      <c r="B647" s="81" t="s">
        <v>275</v>
      </c>
      <c r="C647" s="42" t="s">
        <v>79</v>
      </c>
      <c r="D647" s="61" t="s">
        <v>79</v>
      </c>
    </row>
    <row r="648">
      <c r="A648" s="80" t="s">
        <v>854</v>
      </c>
      <c r="B648" s="81" t="s">
        <v>275</v>
      </c>
      <c r="C648" s="42" t="s">
        <v>79</v>
      </c>
      <c r="D648" s="61" t="s">
        <v>79</v>
      </c>
    </row>
    <row r="649">
      <c r="A649" s="80" t="s">
        <v>855</v>
      </c>
      <c r="B649" s="81" t="s">
        <v>275</v>
      </c>
      <c r="C649" s="42" t="s">
        <v>79</v>
      </c>
      <c r="D649" s="61" t="s">
        <v>79</v>
      </c>
    </row>
    <row r="650">
      <c r="A650" s="80" t="s">
        <v>856</v>
      </c>
      <c r="B650" s="81" t="s">
        <v>275</v>
      </c>
      <c r="C650" s="42" t="s">
        <v>79</v>
      </c>
      <c r="D650" s="61" t="s">
        <v>79</v>
      </c>
    </row>
    <row r="651">
      <c r="A651" s="80" t="s">
        <v>857</v>
      </c>
      <c r="B651" s="81" t="s">
        <v>275</v>
      </c>
      <c r="C651" s="42" t="s">
        <v>79</v>
      </c>
      <c r="D651" s="61" t="s">
        <v>79</v>
      </c>
    </row>
    <row r="652">
      <c r="A652" s="80" t="s">
        <v>858</v>
      </c>
      <c r="B652" s="81" t="s">
        <v>275</v>
      </c>
      <c r="C652" s="42" t="s">
        <v>79</v>
      </c>
      <c r="D652" s="61" t="s">
        <v>79</v>
      </c>
    </row>
    <row r="653">
      <c r="A653" s="80" t="s">
        <v>859</v>
      </c>
      <c r="B653" s="81" t="s">
        <v>275</v>
      </c>
      <c r="C653" s="42" t="s">
        <v>79</v>
      </c>
      <c r="D653" s="61" t="s">
        <v>79</v>
      </c>
    </row>
    <row r="654">
      <c r="A654" s="80" t="s">
        <v>860</v>
      </c>
      <c r="B654" s="81" t="s">
        <v>275</v>
      </c>
      <c r="C654" s="42" t="s">
        <v>79</v>
      </c>
      <c r="D654" s="61" t="s">
        <v>79</v>
      </c>
    </row>
    <row r="655">
      <c r="A655" s="82" t="s">
        <v>862</v>
      </c>
      <c r="B655" s="83" t="s">
        <v>845</v>
      </c>
      <c r="C655" s="42" t="s">
        <v>79</v>
      </c>
      <c r="D655" s="61" t="s">
        <v>79</v>
      </c>
    </row>
    <row r="656">
      <c r="A656" s="82" t="s">
        <v>863</v>
      </c>
      <c r="B656" s="83" t="s">
        <v>845</v>
      </c>
      <c r="C656" s="42" t="s">
        <v>79</v>
      </c>
      <c r="D656" s="61" t="s">
        <v>79</v>
      </c>
    </row>
    <row r="657">
      <c r="A657" s="82" t="s">
        <v>863</v>
      </c>
      <c r="B657" s="83" t="s">
        <v>845</v>
      </c>
      <c r="C657" s="42" t="s">
        <v>79</v>
      </c>
      <c r="D657" s="61" t="s">
        <v>79</v>
      </c>
    </row>
    <row r="658">
      <c r="A658" s="82" t="s">
        <v>864</v>
      </c>
      <c r="B658" s="83" t="s">
        <v>845</v>
      </c>
      <c r="C658" s="42" t="s">
        <v>79</v>
      </c>
      <c r="D658" s="61" t="s">
        <v>79</v>
      </c>
    </row>
    <row r="659">
      <c r="A659" s="84" t="s">
        <v>865</v>
      </c>
      <c r="B659" s="85" t="s">
        <v>866</v>
      </c>
      <c r="C659" s="42" t="s">
        <v>79</v>
      </c>
      <c r="D659" s="61" t="s">
        <v>79</v>
      </c>
    </row>
    <row r="660">
      <c r="A660" s="84" t="s">
        <v>867</v>
      </c>
      <c r="B660" s="85" t="s">
        <v>866</v>
      </c>
      <c r="C660" s="42" t="s">
        <v>79</v>
      </c>
      <c r="D660" s="61" t="s">
        <v>79</v>
      </c>
    </row>
    <row r="661">
      <c r="A661" s="84" t="s">
        <v>868</v>
      </c>
      <c r="B661" s="85" t="s">
        <v>866</v>
      </c>
      <c r="C661" s="42" t="s">
        <v>79</v>
      </c>
      <c r="D661" s="61" t="s">
        <v>79</v>
      </c>
    </row>
    <row r="662">
      <c r="A662" s="84" t="s">
        <v>868</v>
      </c>
      <c r="B662" s="85" t="s">
        <v>866</v>
      </c>
      <c r="C662" s="42" t="s">
        <v>79</v>
      </c>
      <c r="D662" s="61" t="s">
        <v>79</v>
      </c>
    </row>
    <row r="663">
      <c r="A663" s="84" t="s">
        <v>869</v>
      </c>
      <c r="B663" s="85" t="s">
        <v>866</v>
      </c>
      <c r="C663" s="42" t="s">
        <v>79</v>
      </c>
      <c r="D663" s="61" t="s">
        <v>79</v>
      </c>
    </row>
    <row r="664">
      <c r="A664" s="84" t="s">
        <v>868</v>
      </c>
      <c r="B664" s="85" t="s">
        <v>866</v>
      </c>
      <c r="C664" s="42" t="s">
        <v>79</v>
      </c>
      <c r="D664" s="61" t="s">
        <v>79</v>
      </c>
    </row>
    <row r="665">
      <c r="A665" s="84" t="s">
        <v>870</v>
      </c>
      <c r="B665" s="85" t="s">
        <v>866</v>
      </c>
      <c r="C665" s="42" t="s">
        <v>79</v>
      </c>
      <c r="D665" s="61" t="s">
        <v>79</v>
      </c>
    </row>
    <row r="666">
      <c r="A666" s="84" t="s">
        <v>870</v>
      </c>
      <c r="B666" s="85" t="s">
        <v>866</v>
      </c>
      <c r="C666" s="42" t="s">
        <v>79</v>
      </c>
      <c r="D666" s="61" t="s">
        <v>79</v>
      </c>
    </row>
    <row r="667">
      <c r="A667" s="84" t="s">
        <v>871</v>
      </c>
      <c r="B667" s="85" t="s">
        <v>866</v>
      </c>
      <c r="C667" s="42" t="s">
        <v>79</v>
      </c>
      <c r="D667" s="61" t="s">
        <v>79</v>
      </c>
    </row>
    <row r="668">
      <c r="A668" s="82" t="s">
        <v>872</v>
      </c>
      <c r="B668" s="83" t="s">
        <v>291</v>
      </c>
      <c r="C668" s="42" t="s">
        <v>79</v>
      </c>
      <c r="D668" s="61" t="s">
        <v>79</v>
      </c>
    </row>
    <row r="669">
      <c r="A669" s="82" t="s">
        <v>873</v>
      </c>
      <c r="B669" s="83" t="s">
        <v>291</v>
      </c>
      <c r="C669" s="42" t="s">
        <v>79</v>
      </c>
      <c r="D669" s="61" t="s">
        <v>79</v>
      </c>
    </row>
    <row r="670">
      <c r="A670" s="82" t="s">
        <v>874</v>
      </c>
      <c r="B670" s="83" t="s">
        <v>291</v>
      </c>
      <c r="C670" s="42" t="s">
        <v>79</v>
      </c>
      <c r="D670" s="61" t="s">
        <v>79</v>
      </c>
    </row>
    <row r="671">
      <c r="A671" s="82" t="s">
        <v>875</v>
      </c>
      <c r="B671" s="83" t="s">
        <v>291</v>
      </c>
      <c r="C671" s="42" t="s">
        <v>79</v>
      </c>
      <c r="D671" s="61" t="s">
        <v>79</v>
      </c>
    </row>
    <row r="672">
      <c r="A672" s="82" t="s">
        <v>876</v>
      </c>
      <c r="B672" s="83" t="s">
        <v>291</v>
      </c>
      <c r="C672" s="42" t="s">
        <v>79</v>
      </c>
      <c r="D672" s="61" t="s">
        <v>79</v>
      </c>
    </row>
    <row r="673">
      <c r="A673" s="82" t="s">
        <v>877</v>
      </c>
      <c r="B673" s="83" t="s">
        <v>291</v>
      </c>
      <c r="C673" s="42" t="s">
        <v>79</v>
      </c>
      <c r="D673" s="61" t="s">
        <v>79</v>
      </c>
    </row>
    <row r="674">
      <c r="A674" s="82" t="s">
        <v>878</v>
      </c>
      <c r="B674" s="83" t="s">
        <v>291</v>
      </c>
      <c r="C674" s="42" t="s">
        <v>79</v>
      </c>
      <c r="D674" s="61" t="s">
        <v>79</v>
      </c>
    </row>
    <row r="675">
      <c r="A675" s="82" t="s">
        <v>879</v>
      </c>
      <c r="B675" s="83" t="s">
        <v>291</v>
      </c>
      <c r="C675" s="42" t="s">
        <v>79</v>
      </c>
      <c r="D675" s="61" t="s">
        <v>79</v>
      </c>
    </row>
    <row r="676">
      <c r="A676" s="82" t="s">
        <v>880</v>
      </c>
      <c r="B676" s="83" t="s">
        <v>291</v>
      </c>
      <c r="C676" s="42" t="s">
        <v>79</v>
      </c>
      <c r="D676" s="61" t="s">
        <v>79</v>
      </c>
    </row>
    <row r="677">
      <c r="A677" s="82" t="s">
        <v>881</v>
      </c>
      <c r="B677" s="83" t="s">
        <v>291</v>
      </c>
      <c r="C677" s="42" t="s">
        <v>79</v>
      </c>
      <c r="D677" s="61" t="s">
        <v>79</v>
      </c>
    </row>
    <row r="678">
      <c r="A678" s="87" t="s">
        <v>882</v>
      </c>
      <c r="B678" s="88" t="s">
        <v>291</v>
      </c>
      <c r="C678" s="42" t="s">
        <v>79</v>
      </c>
      <c r="D678" s="61" t="s">
        <v>79</v>
      </c>
    </row>
    <row r="679">
      <c r="A679" s="82" t="s">
        <v>883</v>
      </c>
      <c r="B679" s="83" t="s">
        <v>291</v>
      </c>
      <c r="C679" s="42" t="s">
        <v>79</v>
      </c>
      <c r="D679" s="61" t="s">
        <v>79</v>
      </c>
    </row>
    <row r="680">
      <c r="A680" s="82" t="s">
        <v>884</v>
      </c>
      <c r="B680" s="83" t="s">
        <v>291</v>
      </c>
      <c r="C680" s="42" t="s">
        <v>79</v>
      </c>
      <c r="D680" s="61" t="s">
        <v>79</v>
      </c>
    </row>
    <row r="681">
      <c r="A681" s="82" t="s">
        <v>885</v>
      </c>
      <c r="B681" s="83" t="s">
        <v>291</v>
      </c>
      <c r="C681" s="42" t="s">
        <v>79</v>
      </c>
      <c r="D681" s="61" t="s">
        <v>79</v>
      </c>
    </row>
    <row r="682">
      <c r="A682" s="82" t="s">
        <v>886</v>
      </c>
      <c r="B682" s="83" t="s">
        <v>291</v>
      </c>
      <c r="C682" s="42" t="s">
        <v>79</v>
      </c>
      <c r="D682" s="61" t="s">
        <v>79</v>
      </c>
    </row>
    <row r="683">
      <c r="A683" s="87" t="s">
        <v>887</v>
      </c>
      <c r="B683" s="88" t="s">
        <v>291</v>
      </c>
      <c r="C683" s="42" t="s">
        <v>79</v>
      </c>
      <c r="D683" s="61" t="s">
        <v>79</v>
      </c>
    </row>
    <row r="684">
      <c r="A684" s="82" t="s">
        <v>888</v>
      </c>
      <c r="B684" s="83" t="s">
        <v>291</v>
      </c>
      <c r="C684" s="42" t="s">
        <v>79</v>
      </c>
      <c r="D684" s="61" t="s">
        <v>79</v>
      </c>
    </row>
    <row r="685">
      <c r="A685" s="82" t="s">
        <v>889</v>
      </c>
      <c r="B685" s="83" t="s">
        <v>291</v>
      </c>
      <c r="C685" s="42" t="s">
        <v>79</v>
      </c>
      <c r="D685" s="61" t="s">
        <v>79</v>
      </c>
    </row>
    <row r="686">
      <c r="A686" s="87" t="s">
        <v>890</v>
      </c>
      <c r="B686" s="88" t="s">
        <v>291</v>
      </c>
      <c r="C686" s="42" t="s">
        <v>79</v>
      </c>
      <c r="D686" s="61" t="s">
        <v>79</v>
      </c>
    </row>
    <row r="687">
      <c r="A687" s="82" t="s">
        <v>891</v>
      </c>
      <c r="B687" s="83" t="s">
        <v>291</v>
      </c>
      <c r="C687" s="42" t="s">
        <v>79</v>
      </c>
      <c r="D687" s="61" t="s">
        <v>79</v>
      </c>
    </row>
    <row r="688">
      <c r="A688" s="82" t="s">
        <v>892</v>
      </c>
      <c r="B688" s="83" t="s">
        <v>291</v>
      </c>
      <c r="C688" s="42" t="s">
        <v>79</v>
      </c>
      <c r="D688" s="61" t="s">
        <v>79</v>
      </c>
    </row>
    <row r="689">
      <c r="A689" s="82" t="s">
        <v>893</v>
      </c>
      <c r="B689" s="83" t="s">
        <v>291</v>
      </c>
      <c r="C689" s="42" t="s">
        <v>79</v>
      </c>
      <c r="D689" s="61" t="s">
        <v>79</v>
      </c>
    </row>
    <row r="690">
      <c r="A690" s="82" t="s">
        <v>894</v>
      </c>
      <c r="B690" s="83" t="s">
        <v>291</v>
      </c>
      <c r="C690" s="42" t="s">
        <v>79</v>
      </c>
      <c r="D690" s="61" t="s">
        <v>79</v>
      </c>
    </row>
    <row r="691">
      <c r="A691" s="89" t="s">
        <v>895</v>
      </c>
      <c r="B691" s="90" t="s">
        <v>327</v>
      </c>
      <c r="C691" s="42" t="s">
        <v>79</v>
      </c>
      <c r="D691" s="61" t="s">
        <v>79</v>
      </c>
    </row>
    <row r="692">
      <c r="A692" s="89" t="s">
        <v>896</v>
      </c>
      <c r="B692" s="90" t="s">
        <v>327</v>
      </c>
      <c r="C692" s="42" t="s">
        <v>79</v>
      </c>
      <c r="D692" s="61" t="s">
        <v>79</v>
      </c>
    </row>
    <row r="693">
      <c r="A693" s="89" t="s">
        <v>897</v>
      </c>
      <c r="B693" s="90" t="s">
        <v>327</v>
      </c>
      <c r="C693" s="42" t="s">
        <v>79</v>
      </c>
      <c r="D693" s="61" t="s">
        <v>79</v>
      </c>
    </row>
    <row r="694">
      <c r="A694" s="89" t="s">
        <v>898</v>
      </c>
      <c r="B694" s="90" t="s">
        <v>327</v>
      </c>
      <c r="C694" s="42" t="s">
        <v>79</v>
      </c>
      <c r="D694" s="61" t="s">
        <v>79</v>
      </c>
    </row>
    <row r="695">
      <c r="A695" s="89" t="s">
        <v>899</v>
      </c>
      <c r="B695" s="90" t="s">
        <v>327</v>
      </c>
      <c r="C695" s="42" t="s">
        <v>79</v>
      </c>
      <c r="D695" s="61" t="s">
        <v>79</v>
      </c>
    </row>
    <row r="696">
      <c r="A696" s="89" t="s">
        <v>899</v>
      </c>
      <c r="B696" s="90" t="s">
        <v>327</v>
      </c>
      <c r="C696" s="42" t="s">
        <v>79</v>
      </c>
      <c r="D696" s="61" t="s">
        <v>79</v>
      </c>
    </row>
    <row r="697">
      <c r="A697" s="89" t="s">
        <v>900</v>
      </c>
      <c r="B697" s="90" t="s">
        <v>327</v>
      </c>
      <c r="C697" s="42" t="s">
        <v>79</v>
      </c>
      <c r="D697" s="61" t="s">
        <v>79</v>
      </c>
    </row>
    <row r="698">
      <c r="A698" s="89" t="s">
        <v>900</v>
      </c>
      <c r="B698" s="90" t="s">
        <v>327</v>
      </c>
      <c r="C698" s="42" t="s">
        <v>79</v>
      </c>
      <c r="D698" s="61" t="s">
        <v>79</v>
      </c>
    </row>
    <row r="699">
      <c r="A699" s="89" t="s">
        <v>901</v>
      </c>
      <c r="B699" s="90" t="s">
        <v>327</v>
      </c>
      <c r="C699" s="42" t="s">
        <v>79</v>
      </c>
      <c r="D699" s="61" t="s">
        <v>79</v>
      </c>
    </row>
    <row r="700">
      <c r="A700" s="89" t="s">
        <v>902</v>
      </c>
      <c r="B700" s="90" t="s">
        <v>327</v>
      </c>
      <c r="C700" s="42" t="s">
        <v>79</v>
      </c>
      <c r="D700" s="61" t="s">
        <v>79</v>
      </c>
    </row>
    <row r="701">
      <c r="A701" s="89" t="s">
        <v>902</v>
      </c>
      <c r="B701" s="90" t="s">
        <v>327</v>
      </c>
      <c r="C701" s="42" t="s">
        <v>79</v>
      </c>
      <c r="D701" s="61" t="s">
        <v>79</v>
      </c>
    </row>
    <row r="702">
      <c r="A702" s="87" t="s">
        <v>903</v>
      </c>
      <c r="B702" s="88" t="s">
        <v>329</v>
      </c>
      <c r="C702" s="42" t="s">
        <v>79</v>
      </c>
      <c r="D702" s="61" t="s">
        <v>79</v>
      </c>
    </row>
    <row r="703">
      <c r="A703" s="87" t="s">
        <v>904</v>
      </c>
      <c r="B703" s="88" t="s">
        <v>329</v>
      </c>
      <c r="C703" s="42" t="s">
        <v>79</v>
      </c>
      <c r="D703" s="61" t="s">
        <v>79</v>
      </c>
    </row>
    <row r="704">
      <c r="A704" s="87" t="s">
        <v>905</v>
      </c>
      <c r="B704" s="88" t="s">
        <v>329</v>
      </c>
      <c r="C704" s="42" t="s">
        <v>79</v>
      </c>
      <c r="D704" s="61" t="s">
        <v>79</v>
      </c>
    </row>
    <row r="705">
      <c r="A705" s="87" t="s">
        <v>906</v>
      </c>
      <c r="B705" s="88" t="s">
        <v>329</v>
      </c>
      <c r="C705" s="42" t="s">
        <v>79</v>
      </c>
      <c r="D705" s="61" t="s">
        <v>79</v>
      </c>
    </row>
    <row r="706">
      <c r="A706" s="87" t="s">
        <v>907</v>
      </c>
      <c r="B706" s="88" t="s">
        <v>329</v>
      </c>
      <c r="C706" s="42" t="s">
        <v>79</v>
      </c>
      <c r="D706" s="61" t="s">
        <v>79</v>
      </c>
    </row>
    <row r="707">
      <c r="A707" s="87" t="s">
        <v>908</v>
      </c>
      <c r="B707" s="88" t="s">
        <v>329</v>
      </c>
      <c r="C707" s="42" t="s">
        <v>79</v>
      </c>
      <c r="D707" s="61" t="s">
        <v>79</v>
      </c>
    </row>
    <row r="708">
      <c r="A708" s="87" t="s">
        <v>909</v>
      </c>
      <c r="B708" s="88" t="s">
        <v>329</v>
      </c>
      <c r="C708" s="42" t="s">
        <v>79</v>
      </c>
      <c r="D708" s="61" t="s">
        <v>79</v>
      </c>
    </row>
    <row r="709">
      <c r="A709" s="87" t="s">
        <v>910</v>
      </c>
      <c r="B709" s="88" t="s">
        <v>329</v>
      </c>
      <c r="C709" s="42" t="s">
        <v>79</v>
      </c>
      <c r="D709" s="61" t="s">
        <v>79</v>
      </c>
    </row>
    <row r="710">
      <c r="A710" s="87" t="s">
        <v>911</v>
      </c>
      <c r="B710" s="88" t="s">
        <v>329</v>
      </c>
      <c r="C710" s="42" t="s">
        <v>79</v>
      </c>
      <c r="D710" s="61" t="s">
        <v>79</v>
      </c>
    </row>
    <row r="711">
      <c r="A711" s="87" t="s">
        <v>912</v>
      </c>
      <c r="B711" s="88" t="s">
        <v>329</v>
      </c>
      <c r="C711" s="42" t="s">
        <v>79</v>
      </c>
      <c r="D711" s="61" t="s">
        <v>79</v>
      </c>
    </row>
    <row r="712">
      <c r="A712" s="87" t="s">
        <v>913</v>
      </c>
      <c r="B712" s="88" t="s">
        <v>329</v>
      </c>
      <c r="C712" s="42" t="s">
        <v>79</v>
      </c>
      <c r="D712" s="61" t="s">
        <v>79</v>
      </c>
    </row>
    <row r="713">
      <c r="A713" s="87" t="s">
        <v>915</v>
      </c>
      <c r="B713" s="88" t="s">
        <v>329</v>
      </c>
      <c r="C713" s="42" t="s">
        <v>79</v>
      </c>
      <c r="D713" s="61" t="s">
        <v>79</v>
      </c>
    </row>
    <row r="714">
      <c r="A714" s="87" t="s">
        <v>918</v>
      </c>
      <c r="B714" s="88" t="s">
        <v>329</v>
      </c>
      <c r="C714" s="42" t="s">
        <v>79</v>
      </c>
      <c r="D714" s="61" t="s">
        <v>79</v>
      </c>
    </row>
    <row r="715">
      <c r="A715" s="89" t="s">
        <v>920</v>
      </c>
      <c r="B715" s="90" t="s">
        <v>332</v>
      </c>
      <c r="C715" s="42" t="s">
        <v>79</v>
      </c>
      <c r="D715" s="61" t="s">
        <v>79</v>
      </c>
    </row>
    <row r="716">
      <c r="A716" s="89" t="s">
        <v>921</v>
      </c>
      <c r="B716" s="90" t="s">
        <v>332</v>
      </c>
      <c r="C716" s="42" t="s">
        <v>79</v>
      </c>
      <c r="D716" s="61" t="s">
        <v>79</v>
      </c>
    </row>
    <row r="717">
      <c r="A717" s="89" t="s">
        <v>922</v>
      </c>
      <c r="B717" s="90" t="s">
        <v>332</v>
      </c>
      <c r="C717" s="42" t="s">
        <v>79</v>
      </c>
      <c r="D717" s="61" t="s">
        <v>79</v>
      </c>
    </row>
    <row r="718">
      <c r="A718" s="89" t="s">
        <v>923</v>
      </c>
      <c r="B718" s="90" t="s">
        <v>332</v>
      </c>
      <c r="C718" s="42" t="s">
        <v>79</v>
      </c>
      <c r="D718" s="61" t="s">
        <v>79</v>
      </c>
    </row>
    <row r="719">
      <c r="A719" s="89" t="s">
        <v>924</v>
      </c>
      <c r="B719" s="90" t="s">
        <v>332</v>
      </c>
      <c r="C719" s="42" t="s">
        <v>79</v>
      </c>
      <c r="D719" s="61" t="s">
        <v>79</v>
      </c>
    </row>
    <row r="720">
      <c r="A720" s="89" t="s">
        <v>925</v>
      </c>
      <c r="B720" s="90" t="s">
        <v>332</v>
      </c>
      <c r="C720" s="42" t="s">
        <v>79</v>
      </c>
      <c r="D720" s="61" t="s">
        <v>79</v>
      </c>
    </row>
    <row r="721">
      <c r="A721" s="89" t="s">
        <v>926</v>
      </c>
      <c r="B721" s="90" t="s">
        <v>332</v>
      </c>
      <c r="C721" s="42" t="s">
        <v>79</v>
      </c>
      <c r="D721" s="61" t="s">
        <v>79</v>
      </c>
    </row>
    <row r="722">
      <c r="A722" s="89" t="s">
        <v>927</v>
      </c>
      <c r="B722" s="90" t="s">
        <v>332</v>
      </c>
      <c r="C722" s="42" t="s">
        <v>79</v>
      </c>
      <c r="D722" s="61" t="s">
        <v>79</v>
      </c>
    </row>
    <row r="723">
      <c r="A723" s="89" t="s">
        <v>928</v>
      </c>
      <c r="B723" s="90" t="s">
        <v>332</v>
      </c>
      <c r="C723" s="42" t="s">
        <v>79</v>
      </c>
      <c r="D723" s="61" t="s">
        <v>79</v>
      </c>
    </row>
    <row r="724">
      <c r="A724" s="89" t="s">
        <v>929</v>
      </c>
      <c r="B724" s="90" t="s">
        <v>332</v>
      </c>
      <c r="C724" s="42" t="s">
        <v>79</v>
      </c>
      <c r="D724" s="60"/>
    </row>
    <row r="725">
      <c r="A725" s="89" t="s">
        <v>930</v>
      </c>
      <c r="B725" s="90" t="s">
        <v>332</v>
      </c>
      <c r="C725" s="42" t="s">
        <v>79</v>
      </c>
      <c r="D725" s="60"/>
    </row>
    <row r="726">
      <c r="A726" s="89" t="s">
        <v>930</v>
      </c>
      <c r="B726" s="90" t="s">
        <v>332</v>
      </c>
      <c r="C726" s="42" t="s">
        <v>79</v>
      </c>
      <c r="D726" s="60"/>
    </row>
    <row r="727">
      <c r="A727" s="89" t="s">
        <v>931</v>
      </c>
      <c r="B727" s="90" t="s">
        <v>332</v>
      </c>
      <c r="C727" s="42" t="s">
        <v>79</v>
      </c>
      <c r="D727" s="61" t="s">
        <v>79</v>
      </c>
    </row>
    <row r="728">
      <c r="A728" s="89" t="s">
        <v>932</v>
      </c>
      <c r="B728" s="90" t="s">
        <v>332</v>
      </c>
      <c r="C728" s="42" t="s">
        <v>79</v>
      </c>
      <c r="D728" s="61" t="s">
        <v>79</v>
      </c>
    </row>
    <row r="729">
      <c r="A729" s="89" t="s">
        <v>933</v>
      </c>
      <c r="B729" s="90" t="s">
        <v>332</v>
      </c>
      <c r="C729" s="42" t="s">
        <v>79</v>
      </c>
      <c r="D729" s="61" t="s">
        <v>79</v>
      </c>
    </row>
    <row r="730">
      <c r="A730" s="89" t="s">
        <v>934</v>
      </c>
      <c r="B730" s="90" t="s">
        <v>332</v>
      </c>
      <c r="C730" s="42" t="s">
        <v>79</v>
      </c>
      <c r="D730" s="61" t="s">
        <v>79</v>
      </c>
    </row>
    <row r="731">
      <c r="A731" s="89" t="s">
        <v>935</v>
      </c>
      <c r="B731" s="90" t="s">
        <v>332</v>
      </c>
      <c r="C731" s="42" t="s">
        <v>79</v>
      </c>
      <c r="D731" s="61" t="s">
        <v>79</v>
      </c>
    </row>
    <row r="732">
      <c r="A732" s="89" t="s">
        <v>936</v>
      </c>
      <c r="B732" s="90" t="s">
        <v>332</v>
      </c>
      <c r="C732" s="42" t="s">
        <v>79</v>
      </c>
      <c r="D732" s="61" t="s">
        <v>79</v>
      </c>
    </row>
    <row r="733">
      <c r="A733" s="89" t="s">
        <v>937</v>
      </c>
      <c r="B733" s="90" t="s">
        <v>332</v>
      </c>
      <c r="C733" s="42" t="s">
        <v>79</v>
      </c>
      <c r="D733" s="61" t="s">
        <v>79</v>
      </c>
    </row>
    <row r="734">
      <c r="A734" s="89" t="s">
        <v>938</v>
      </c>
      <c r="B734" s="90" t="s">
        <v>332</v>
      </c>
      <c r="C734" s="42" t="s">
        <v>79</v>
      </c>
      <c r="D734" s="61" t="s">
        <v>79</v>
      </c>
    </row>
    <row r="735">
      <c r="A735" s="89" t="s">
        <v>939</v>
      </c>
      <c r="B735" s="90" t="s">
        <v>332</v>
      </c>
      <c r="C735" s="42" t="s">
        <v>79</v>
      </c>
      <c r="D735" s="61" t="s">
        <v>79</v>
      </c>
    </row>
    <row r="736">
      <c r="A736" s="89" t="s">
        <v>940</v>
      </c>
      <c r="B736" s="90" t="s">
        <v>332</v>
      </c>
      <c r="C736" s="42" t="s">
        <v>79</v>
      </c>
      <c r="D736" s="61" t="s">
        <v>79</v>
      </c>
    </row>
    <row r="737">
      <c r="A737" s="87" t="s">
        <v>941</v>
      </c>
      <c r="B737" s="88" t="s">
        <v>329</v>
      </c>
      <c r="C737" s="42" t="s">
        <v>79</v>
      </c>
      <c r="D737" s="61" t="s">
        <v>79</v>
      </c>
    </row>
    <row r="738">
      <c r="A738" s="87" t="s">
        <v>942</v>
      </c>
      <c r="B738" s="88" t="s">
        <v>329</v>
      </c>
      <c r="C738" s="42" t="s">
        <v>79</v>
      </c>
      <c r="D738" s="61" t="s">
        <v>79</v>
      </c>
    </row>
    <row r="739">
      <c r="A739" s="87" t="s">
        <v>943</v>
      </c>
      <c r="B739" s="88" t="s">
        <v>329</v>
      </c>
      <c r="C739" s="42" t="s">
        <v>79</v>
      </c>
      <c r="D739" s="61" t="s">
        <v>79</v>
      </c>
    </row>
    <row r="740">
      <c r="A740" s="87" t="s">
        <v>944</v>
      </c>
      <c r="B740" s="88" t="s">
        <v>329</v>
      </c>
      <c r="C740" s="42" t="s">
        <v>79</v>
      </c>
      <c r="D740" s="61" t="s">
        <v>79</v>
      </c>
    </row>
    <row r="741">
      <c r="A741" s="87" t="s">
        <v>945</v>
      </c>
      <c r="B741" s="88" t="s">
        <v>329</v>
      </c>
      <c r="C741" s="42" t="s">
        <v>79</v>
      </c>
      <c r="D741" s="61" t="s">
        <v>79</v>
      </c>
    </row>
    <row r="742">
      <c r="A742" s="87" t="s">
        <v>946</v>
      </c>
      <c r="B742" s="88" t="s">
        <v>329</v>
      </c>
      <c r="C742" s="42" t="s">
        <v>79</v>
      </c>
      <c r="D742" s="61" t="s">
        <v>79</v>
      </c>
    </row>
    <row r="743">
      <c r="A743" s="92" t="s">
        <v>947</v>
      </c>
      <c r="B743" s="93" t="s">
        <v>325</v>
      </c>
      <c r="C743" s="42" t="s">
        <v>79</v>
      </c>
      <c r="D743" s="61" t="s">
        <v>79</v>
      </c>
    </row>
    <row r="744">
      <c r="A744" s="92" t="s">
        <v>948</v>
      </c>
      <c r="B744" s="93" t="s">
        <v>325</v>
      </c>
      <c r="C744" s="42" t="s">
        <v>79</v>
      </c>
      <c r="D744" s="61" t="s">
        <v>79</v>
      </c>
    </row>
    <row r="745">
      <c r="A745" s="92" t="s">
        <v>949</v>
      </c>
      <c r="B745" s="93" t="s">
        <v>325</v>
      </c>
      <c r="C745" s="42" t="s">
        <v>79</v>
      </c>
      <c r="D745" s="61" t="s">
        <v>79</v>
      </c>
    </row>
    <row r="746">
      <c r="A746" s="92" t="s">
        <v>950</v>
      </c>
      <c r="B746" s="93" t="s">
        <v>325</v>
      </c>
      <c r="C746" s="42" t="s">
        <v>79</v>
      </c>
      <c r="D746" s="61" t="s">
        <v>79</v>
      </c>
    </row>
    <row r="747">
      <c r="A747" s="92" t="s">
        <v>951</v>
      </c>
      <c r="B747" s="93" t="s">
        <v>325</v>
      </c>
      <c r="C747" s="42" t="s">
        <v>79</v>
      </c>
      <c r="D747" s="61" t="s">
        <v>79</v>
      </c>
    </row>
    <row r="748">
      <c r="A748" s="92" t="s">
        <v>952</v>
      </c>
      <c r="B748" s="93" t="s">
        <v>325</v>
      </c>
      <c r="C748" s="42" t="s">
        <v>79</v>
      </c>
      <c r="D748" s="61" t="s">
        <v>79</v>
      </c>
    </row>
    <row r="749">
      <c r="A749" s="92" t="s">
        <v>953</v>
      </c>
      <c r="B749" s="93" t="s">
        <v>325</v>
      </c>
      <c r="C749" s="42" t="s">
        <v>79</v>
      </c>
      <c r="D749" s="61" t="s">
        <v>79</v>
      </c>
    </row>
    <row r="750">
      <c r="A750" s="92" t="s">
        <v>954</v>
      </c>
      <c r="B750" s="93" t="s">
        <v>325</v>
      </c>
      <c r="C750" s="42" t="s">
        <v>79</v>
      </c>
      <c r="D750" s="61" t="s">
        <v>79</v>
      </c>
    </row>
    <row r="751">
      <c r="A751" s="92" t="s">
        <v>955</v>
      </c>
      <c r="B751" s="93" t="s">
        <v>325</v>
      </c>
      <c r="C751" s="42" t="s">
        <v>79</v>
      </c>
      <c r="D751" s="61" t="s">
        <v>79</v>
      </c>
    </row>
    <row r="752">
      <c r="A752" s="92" t="s">
        <v>956</v>
      </c>
      <c r="B752" s="93" t="s">
        <v>325</v>
      </c>
      <c r="C752" s="42" t="s">
        <v>79</v>
      </c>
      <c r="D752" s="61" t="s">
        <v>79</v>
      </c>
    </row>
    <row r="753">
      <c r="A753" s="92" t="s">
        <v>957</v>
      </c>
      <c r="B753" s="93" t="s">
        <v>325</v>
      </c>
      <c r="C753" s="42" t="s">
        <v>79</v>
      </c>
      <c r="D753" s="61" t="s">
        <v>79</v>
      </c>
    </row>
    <row r="754">
      <c r="A754" s="92" t="s">
        <v>958</v>
      </c>
      <c r="B754" s="93" t="s">
        <v>325</v>
      </c>
      <c r="C754" s="42" t="s">
        <v>79</v>
      </c>
      <c r="D754" s="61" t="s">
        <v>79</v>
      </c>
    </row>
    <row r="755">
      <c r="A755" s="92" t="s">
        <v>959</v>
      </c>
      <c r="B755" s="93" t="s">
        <v>325</v>
      </c>
      <c r="C755" s="42" t="s">
        <v>79</v>
      </c>
      <c r="D755" s="61" t="s">
        <v>79</v>
      </c>
    </row>
    <row r="756">
      <c r="A756" s="92" t="s">
        <v>960</v>
      </c>
      <c r="B756" s="93" t="s">
        <v>325</v>
      </c>
      <c r="C756" s="42" t="s">
        <v>79</v>
      </c>
      <c r="D756" s="61" t="s">
        <v>79</v>
      </c>
    </row>
    <row r="757">
      <c r="A757" s="92" t="s">
        <v>961</v>
      </c>
      <c r="B757" s="93" t="s">
        <v>325</v>
      </c>
      <c r="C757" s="42" t="s">
        <v>79</v>
      </c>
      <c r="D757" s="61" t="s">
        <v>79</v>
      </c>
    </row>
    <row r="758">
      <c r="A758" s="92" t="s">
        <v>962</v>
      </c>
      <c r="B758" s="93" t="s">
        <v>325</v>
      </c>
      <c r="C758" s="42" t="s">
        <v>79</v>
      </c>
      <c r="D758" s="61" t="s">
        <v>79</v>
      </c>
    </row>
    <row r="759">
      <c r="A759" s="92" t="s">
        <v>963</v>
      </c>
      <c r="B759" s="93" t="s">
        <v>325</v>
      </c>
      <c r="C759" s="42" t="s">
        <v>79</v>
      </c>
      <c r="D759" s="61" t="s">
        <v>79</v>
      </c>
    </row>
    <row r="760">
      <c r="A760" s="92" t="s">
        <v>964</v>
      </c>
      <c r="B760" s="93" t="s">
        <v>325</v>
      </c>
      <c r="C760" s="42" t="s">
        <v>79</v>
      </c>
      <c r="D760" s="61" t="s">
        <v>79</v>
      </c>
    </row>
    <row r="761">
      <c r="A761" s="92" t="s">
        <v>965</v>
      </c>
      <c r="B761" s="93" t="s">
        <v>325</v>
      </c>
      <c r="C761" s="42" t="s">
        <v>79</v>
      </c>
      <c r="D761" s="61" t="s">
        <v>79</v>
      </c>
    </row>
    <row r="762">
      <c r="A762" s="92" t="s">
        <v>966</v>
      </c>
      <c r="B762" s="93" t="s">
        <v>325</v>
      </c>
      <c r="C762" s="42" t="s">
        <v>79</v>
      </c>
      <c r="D762" s="61" t="s">
        <v>79</v>
      </c>
    </row>
    <row r="763">
      <c r="A763" s="92" t="s">
        <v>967</v>
      </c>
      <c r="B763" s="93" t="s">
        <v>325</v>
      </c>
      <c r="C763" s="42" t="s">
        <v>79</v>
      </c>
      <c r="D763" s="61" t="s">
        <v>79</v>
      </c>
    </row>
    <row r="764">
      <c r="A764" s="92" t="s">
        <v>968</v>
      </c>
      <c r="B764" s="93" t="s">
        <v>325</v>
      </c>
      <c r="C764" s="42" t="s">
        <v>79</v>
      </c>
      <c r="D764" s="61" t="s">
        <v>79</v>
      </c>
    </row>
    <row r="765">
      <c r="A765" s="92" t="s">
        <v>969</v>
      </c>
      <c r="B765" s="93" t="s">
        <v>325</v>
      </c>
      <c r="C765" s="42" t="s">
        <v>79</v>
      </c>
      <c r="D765" s="61" t="s">
        <v>79</v>
      </c>
    </row>
    <row r="766">
      <c r="A766" s="92" t="s">
        <v>970</v>
      </c>
      <c r="B766" s="93" t="s">
        <v>325</v>
      </c>
      <c r="C766" s="42" t="s">
        <v>79</v>
      </c>
      <c r="D766" s="61" t="s">
        <v>79</v>
      </c>
    </row>
    <row r="767">
      <c r="A767" s="92" t="s">
        <v>971</v>
      </c>
      <c r="B767" s="93" t="s">
        <v>325</v>
      </c>
      <c r="C767" s="42" t="s">
        <v>79</v>
      </c>
      <c r="D767" s="61" t="s">
        <v>79</v>
      </c>
    </row>
    <row r="768">
      <c r="A768" s="92" t="s">
        <v>972</v>
      </c>
      <c r="B768" s="93" t="s">
        <v>325</v>
      </c>
      <c r="C768" s="42" t="s">
        <v>79</v>
      </c>
      <c r="D768" s="61" t="s">
        <v>79</v>
      </c>
    </row>
    <row r="769">
      <c r="A769" s="92" t="s">
        <v>973</v>
      </c>
      <c r="B769" s="93" t="s">
        <v>325</v>
      </c>
      <c r="C769" s="42" t="s">
        <v>79</v>
      </c>
      <c r="D769" s="61" t="s">
        <v>79</v>
      </c>
    </row>
    <row r="770">
      <c r="A770" s="92" t="s">
        <v>974</v>
      </c>
      <c r="B770" s="93" t="s">
        <v>325</v>
      </c>
      <c r="C770" s="42" t="s">
        <v>79</v>
      </c>
      <c r="D770" s="61" t="s">
        <v>79</v>
      </c>
    </row>
    <row r="771">
      <c r="A771" s="92" t="s">
        <v>975</v>
      </c>
      <c r="B771" s="93" t="s">
        <v>325</v>
      </c>
      <c r="C771" s="42" t="s">
        <v>79</v>
      </c>
      <c r="D771" s="61" t="s">
        <v>79</v>
      </c>
    </row>
    <row r="772">
      <c r="A772" s="92" t="s">
        <v>976</v>
      </c>
      <c r="B772" s="93" t="s">
        <v>325</v>
      </c>
      <c r="C772" s="42" t="s">
        <v>79</v>
      </c>
      <c r="D772" s="61" t="s">
        <v>79</v>
      </c>
    </row>
    <row r="773">
      <c r="A773" s="92" t="s">
        <v>977</v>
      </c>
      <c r="B773" s="93" t="s">
        <v>325</v>
      </c>
      <c r="C773" s="42" t="s">
        <v>79</v>
      </c>
      <c r="D773" s="61" t="s">
        <v>79</v>
      </c>
    </row>
    <row r="774">
      <c r="A774" s="92" t="s">
        <v>978</v>
      </c>
      <c r="B774" s="93" t="s">
        <v>325</v>
      </c>
      <c r="C774" s="42" t="s">
        <v>79</v>
      </c>
      <c r="D774" s="61" t="s">
        <v>79</v>
      </c>
    </row>
    <row r="775">
      <c r="A775" s="82" t="s">
        <v>979</v>
      </c>
      <c r="B775" s="83" t="s">
        <v>980</v>
      </c>
      <c r="C775" s="42" t="s">
        <v>79</v>
      </c>
      <c r="D775" s="61" t="s">
        <v>79</v>
      </c>
    </row>
    <row r="776">
      <c r="A776" s="82" t="s">
        <v>981</v>
      </c>
      <c r="B776" s="83" t="s">
        <v>980</v>
      </c>
      <c r="C776" s="42" t="s">
        <v>79</v>
      </c>
      <c r="D776" s="61" t="s">
        <v>79</v>
      </c>
    </row>
    <row r="777">
      <c r="A777" s="82" t="s">
        <v>982</v>
      </c>
      <c r="B777" s="83" t="s">
        <v>980</v>
      </c>
      <c r="C777" s="42" t="s">
        <v>79</v>
      </c>
      <c r="D777" s="61" t="s">
        <v>79</v>
      </c>
    </row>
    <row r="778">
      <c r="A778" s="82" t="s">
        <v>983</v>
      </c>
      <c r="B778" s="83" t="s">
        <v>980</v>
      </c>
      <c r="C778" s="42" t="s">
        <v>79</v>
      </c>
      <c r="D778" s="61" t="s">
        <v>79</v>
      </c>
    </row>
    <row r="779">
      <c r="A779" s="82" t="s">
        <v>984</v>
      </c>
      <c r="B779" s="83" t="s">
        <v>980</v>
      </c>
      <c r="C779" s="42" t="s">
        <v>79</v>
      </c>
      <c r="D779" s="61" t="s">
        <v>79</v>
      </c>
    </row>
    <row r="780">
      <c r="A780" s="82" t="s">
        <v>985</v>
      </c>
      <c r="B780" s="83" t="s">
        <v>980</v>
      </c>
      <c r="C780" s="42" t="s">
        <v>79</v>
      </c>
      <c r="D780" s="61" t="s">
        <v>79</v>
      </c>
    </row>
    <row r="781">
      <c r="A781" s="82" t="s">
        <v>986</v>
      </c>
      <c r="B781" s="83" t="s">
        <v>980</v>
      </c>
      <c r="C781" s="42" t="s">
        <v>79</v>
      </c>
      <c r="D781" s="61" t="s">
        <v>79</v>
      </c>
    </row>
    <row r="782">
      <c r="A782" s="82" t="s">
        <v>987</v>
      </c>
      <c r="B782" s="83" t="s">
        <v>980</v>
      </c>
      <c r="C782" s="42" t="s">
        <v>79</v>
      </c>
      <c r="D782" s="61" t="s">
        <v>79</v>
      </c>
    </row>
    <row r="783">
      <c r="A783" s="82" t="s">
        <v>988</v>
      </c>
      <c r="B783" s="83" t="s">
        <v>980</v>
      </c>
      <c r="C783" s="42" t="s">
        <v>79</v>
      </c>
      <c r="D783" s="61" t="s">
        <v>79</v>
      </c>
    </row>
    <row r="784">
      <c r="A784" s="82" t="s">
        <v>989</v>
      </c>
      <c r="B784" s="83" t="s">
        <v>980</v>
      </c>
      <c r="C784" s="42" t="s">
        <v>79</v>
      </c>
      <c r="D784" s="61" t="s">
        <v>79</v>
      </c>
    </row>
    <row r="785">
      <c r="A785" s="87" t="s">
        <v>990</v>
      </c>
      <c r="B785" s="88" t="s">
        <v>980</v>
      </c>
      <c r="C785" s="42" t="s">
        <v>79</v>
      </c>
      <c r="D785" s="60"/>
    </row>
    <row r="786">
      <c r="A786" s="82" t="s">
        <v>991</v>
      </c>
      <c r="B786" s="83" t="s">
        <v>980</v>
      </c>
      <c r="C786" s="42" t="s">
        <v>79</v>
      </c>
      <c r="D786" s="61" t="s">
        <v>79</v>
      </c>
    </row>
    <row r="787">
      <c r="A787" s="82" t="s">
        <v>992</v>
      </c>
      <c r="B787" s="83" t="s">
        <v>980</v>
      </c>
      <c r="C787" s="42" t="s">
        <v>79</v>
      </c>
      <c r="D787" s="61" t="s">
        <v>79</v>
      </c>
    </row>
    <row r="788">
      <c r="A788" s="82" t="s">
        <v>993</v>
      </c>
      <c r="B788" s="83" t="s">
        <v>980</v>
      </c>
      <c r="C788" s="42" t="s">
        <v>79</v>
      </c>
      <c r="D788" s="61" t="s">
        <v>79</v>
      </c>
    </row>
    <row r="789">
      <c r="A789" s="82" t="s">
        <v>994</v>
      </c>
      <c r="B789" s="83" t="s">
        <v>980</v>
      </c>
      <c r="C789" s="42" t="s">
        <v>79</v>
      </c>
      <c r="D789" s="61" t="s">
        <v>79</v>
      </c>
    </row>
    <row r="790">
      <c r="A790" s="82" t="s">
        <v>995</v>
      </c>
      <c r="B790" s="83" t="s">
        <v>980</v>
      </c>
      <c r="C790" s="42" t="s">
        <v>79</v>
      </c>
      <c r="D790" s="61" t="s">
        <v>79</v>
      </c>
    </row>
    <row r="791">
      <c r="A791" s="82" t="s">
        <v>996</v>
      </c>
      <c r="B791" s="83" t="s">
        <v>980</v>
      </c>
      <c r="C791" s="42" t="s">
        <v>79</v>
      </c>
      <c r="D791" s="61" t="s">
        <v>79</v>
      </c>
    </row>
    <row r="792">
      <c r="A792" s="82" t="s">
        <v>997</v>
      </c>
      <c r="B792" s="83" t="s">
        <v>980</v>
      </c>
      <c r="C792" s="42" t="s">
        <v>79</v>
      </c>
      <c r="D792" s="61" t="s">
        <v>79</v>
      </c>
    </row>
    <row r="793">
      <c r="A793" s="82" t="s">
        <v>998</v>
      </c>
      <c r="B793" s="83" t="s">
        <v>980</v>
      </c>
      <c r="C793" s="42" t="s">
        <v>79</v>
      </c>
      <c r="D793" s="61" t="s">
        <v>79</v>
      </c>
    </row>
    <row r="794">
      <c r="A794" s="82" t="s">
        <v>999</v>
      </c>
      <c r="B794" s="83" t="s">
        <v>980</v>
      </c>
      <c r="C794" s="42" t="s">
        <v>79</v>
      </c>
      <c r="D794" s="61" t="s">
        <v>79</v>
      </c>
    </row>
    <row r="795">
      <c r="A795" s="82" t="s">
        <v>1000</v>
      </c>
      <c r="B795" s="83" t="s">
        <v>980</v>
      </c>
      <c r="C795" s="42" t="s">
        <v>79</v>
      </c>
      <c r="D795" s="61" t="s">
        <v>79</v>
      </c>
    </row>
    <row r="796">
      <c r="A796" s="89" t="s">
        <v>1001</v>
      </c>
      <c r="B796" s="90" t="s">
        <v>322</v>
      </c>
      <c r="C796" s="42" t="s">
        <v>79</v>
      </c>
      <c r="D796" s="61" t="s">
        <v>79</v>
      </c>
    </row>
    <row r="797">
      <c r="A797" s="89" t="s">
        <v>1002</v>
      </c>
      <c r="B797" s="90" t="s">
        <v>322</v>
      </c>
      <c r="C797" s="42" t="s">
        <v>79</v>
      </c>
      <c r="D797" s="61" t="s">
        <v>79</v>
      </c>
    </row>
    <row r="798">
      <c r="A798" s="89" t="s">
        <v>1003</v>
      </c>
      <c r="B798" s="90" t="s">
        <v>322</v>
      </c>
      <c r="C798" s="42" t="s">
        <v>79</v>
      </c>
      <c r="D798" s="61" t="s">
        <v>79</v>
      </c>
    </row>
    <row r="799">
      <c r="A799" s="89" t="s">
        <v>1004</v>
      </c>
      <c r="B799" s="90" t="s">
        <v>322</v>
      </c>
      <c r="C799" s="42" t="s">
        <v>79</v>
      </c>
      <c r="D799" s="61" t="s">
        <v>79</v>
      </c>
    </row>
    <row r="800">
      <c r="A800" s="89" t="s">
        <v>1006</v>
      </c>
      <c r="B800" s="90" t="s">
        <v>322</v>
      </c>
      <c r="C800" s="42" t="s">
        <v>79</v>
      </c>
      <c r="D800" s="61" t="s">
        <v>79</v>
      </c>
    </row>
    <row r="801">
      <c r="A801" s="89" t="s">
        <v>1008</v>
      </c>
      <c r="B801" s="90" t="s">
        <v>322</v>
      </c>
      <c r="C801" s="42" t="s">
        <v>79</v>
      </c>
      <c r="D801" s="61" t="s">
        <v>79</v>
      </c>
    </row>
    <row r="802">
      <c r="A802" s="89" t="s">
        <v>1010</v>
      </c>
      <c r="B802" s="90" t="s">
        <v>322</v>
      </c>
      <c r="C802" s="42" t="s">
        <v>79</v>
      </c>
      <c r="D802" s="61" t="s">
        <v>79</v>
      </c>
    </row>
    <row r="803">
      <c r="A803" s="89" t="s">
        <v>1012</v>
      </c>
      <c r="B803" s="90" t="s">
        <v>322</v>
      </c>
      <c r="C803" s="42" t="s">
        <v>79</v>
      </c>
      <c r="D803" s="61" t="s">
        <v>79</v>
      </c>
    </row>
    <row r="804">
      <c r="A804" s="89" t="s">
        <v>1014</v>
      </c>
      <c r="B804" s="90" t="s">
        <v>322</v>
      </c>
      <c r="C804" s="42" t="s">
        <v>79</v>
      </c>
      <c r="D804" s="61" t="s">
        <v>79</v>
      </c>
    </row>
    <row r="805">
      <c r="A805" s="82" t="s">
        <v>1016</v>
      </c>
      <c r="B805" s="83" t="s">
        <v>224</v>
      </c>
      <c r="C805" s="42" t="s">
        <v>79</v>
      </c>
      <c r="D805" s="61" t="s">
        <v>79</v>
      </c>
    </row>
    <row r="806">
      <c r="A806" s="82" t="s">
        <v>1018</v>
      </c>
      <c r="B806" s="83" t="s">
        <v>224</v>
      </c>
      <c r="C806" s="42" t="s">
        <v>79</v>
      </c>
      <c r="D806" s="61" t="s">
        <v>79</v>
      </c>
    </row>
    <row r="807">
      <c r="A807" s="82" t="s">
        <v>1020</v>
      </c>
      <c r="B807" s="83" t="s">
        <v>224</v>
      </c>
      <c r="C807" s="42" t="s">
        <v>79</v>
      </c>
      <c r="D807" s="61" t="s">
        <v>79</v>
      </c>
    </row>
    <row r="808">
      <c r="A808" s="82" t="s">
        <v>1022</v>
      </c>
      <c r="B808" s="83" t="s">
        <v>224</v>
      </c>
      <c r="C808" s="42" t="s">
        <v>79</v>
      </c>
      <c r="D808" s="61" t="s">
        <v>79</v>
      </c>
    </row>
    <row r="809">
      <c r="A809" s="82" t="s">
        <v>1024</v>
      </c>
      <c r="B809" s="83" t="s">
        <v>224</v>
      </c>
      <c r="C809" s="42" t="s">
        <v>79</v>
      </c>
      <c r="D809" s="61" t="s">
        <v>79</v>
      </c>
    </row>
    <row r="810">
      <c r="A810" s="82" t="s">
        <v>1026</v>
      </c>
      <c r="B810" s="83" t="s">
        <v>224</v>
      </c>
      <c r="C810" s="42" t="s">
        <v>79</v>
      </c>
      <c r="D810" s="61" t="s">
        <v>79</v>
      </c>
    </row>
    <row r="811">
      <c r="A811" s="89" t="s">
        <v>1028</v>
      </c>
      <c r="B811" s="90" t="s">
        <v>322</v>
      </c>
      <c r="C811" s="42" t="s">
        <v>79</v>
      </c>
      <c r="D811" s="61" t="s">
        <v>79</v>
      </c>
    </row>
    <row r="812">
      <c r="A812" s="89" t="s">
        <v>1030</v>
      </c>
      <c r="B812" s="90" t="s">
        <v>322</v>
      </c>
      <c r="C812" s="42" t="s">
        <v>79</v>
      </c>
      <c r="D812" s="61" t="s">
        <v>79</v>
      </c>
    </row>
    <row r="813">
      <c r="A813" s="89" t="s">
        <v>1032</v>
      </c>
      <c r="B813" s="90" t="s">
        <v>322</v>
      </c>
      <c r="C813" s="42" t="s">
        <v>79</v>
      </c>
      <c r="D813" s="61" t="s">
        <v>79</v>
      </c>
    </row>
    <row r="814">
      <c r="A814" s="89" t="s">
        <v>1033</v>
      </c>
      <c r="B814" s="90" t="s">
        <v>322</v>
      </c>
      <c r="C814" s="42" t="s">
        <v>79</v>
      </c>
      <c r="D814" s="61" t="s">
        <v>79</v>
      </c>
    </row>
    <row r="815">
      <c r="A815" s="89" t="s">
        <v>1035</v>
      </c>
      <c r="B815" s="90" t="s">
        <v>322</v>
      </c>
      <c r="C815" s="42" t="s">
        <v>79</v>
      </c>
      <c r="D815" s="61" t="s">
        <v>79</v>
      </c>
    </row>
    <row r="816">
      <c r="A816" s="82" t="s">
        <v>1037</v>
      </c>
      <c r="B816" s="83" t="s">
        <v>219</v>
      </c>
      <c r="C816" s="42" t="s">
        <v>79</v>
      </c>
      <c r="D816" s="60"/>
    </row>
    <row r="817">
      <c r="A817" s="82" t="s">
        <v>1039</v>
      </c>
      <c r="B817" s="83" t="s">
        <v>219</v>
      </c>
      <c r="C817" s="42" t="s">
        <v>79</v>
      </c>
      <c r="D817" s="60"/>
    </row>
    <row r="818">
      <c r="A818" s="82" t="s">
        <v>1041</v>
      </c>
      <c r="B818" s="83" t="s">
        <v>219</v>
      </c>
      <c r="C818" s="42" t="s">
        <v>79</v>
      </c>
      <c r="D818" s="60"/>
    </row>
    <row r="819">
      <c r="A819" s="82" t="s">
        <v>1043</v>
      </c>
      <c r="B819" s="83" t="s">
        <v>219</v>
      </c>
      <c r="C819" s="42" t="s">
        <v>79</v>
      </c>
      <c r="D819" s="60"/>
    </row>
    <row r="820">
      <c r="A820" s="82" t="s">
        <v>1037</v>
      </c>
      <c r="B820" s="83" t="s">
        <v>219</v>
      </c>
      <c r="C820" s="42" t="s">
        <v>79</v>
      </c>
      <c r="D820" s="60"/>
    </row>
    <row r="821">
      <c r="A821" s="82" t="s">
        <v>1046</v>
      </c>
      <c r="B821" s="83" t="s">
        <v>219</v>
      </c>
      <c r="C821" s="42" t="s">
        <v>79</v>
      </c>
      <c r="D821" s="60"/>
    </row>
    <row r="822">
      <c r="A822" s="82" t="s">
        <v>1048</v>
      </c>
      <c r="B822" s="83" t="s">
        <v>219</v>
      </c>
      <c r="C822" s="42" t="s">
        <v>79</v>
      </c>
      <c r="D822" s="60"/>
    </row>
    <row r="823">
      <c r="A823" s="82" t="s">
        <v>1050</v>
      </c>
      <c r="B823" s="83" t="s">
        <v>219</v>
      </c>
      <c r="C823" s="42" t="s">
        <v>79</v>
      </c>
      <c r="D823" s="60"/>
    </row>
    <row r="824">
      <c r="A824" s="82" t="s">
        <v>1051</v>
      </c>
      <c r="B824" s="83" t="s">
        <v>219</v>
      </c>
      <c r="C824" s="42" t="s">
        <v>79</v>
      </c>
      <c r="D824" s="60"/>
    </row>
    <row r="825">
      <c r="A825" s="82" t="s">
        <v>1053</v>
      </c>
      <c r="B825" s="83" t="s">
        <v>219</v>
      </c>
      <c r="C825" s="42" t="s">
        <v>79</v>
      </c>
      <c r="D825" s="60"/>
    </row>
    <row r="826">
      <c r="A826" s="82" t="s">
        <v>1055</v>
      </c>
      <c r="B826" s="83" t="s">
        <v>219</v>
      </c>
      <c r="C826" s="42" t="s">
        <v>79</v>
      </c>
      <c r="D826" s="60"/>
    </row>
    <row r="827">
      <c r="A827" s="82" t="s">
        <v>1057</v>
      </c>
      <c r="B827" s="83" t="s">
        <v>219</v>
      </c>
      <c r="C827" s="42" t="s">
        <v>79</v>
      </c>
      <c r="D827" s="60"/>
    </row>
    <row r="828">
      <c r="A828" s="82" t="s">
        <v>1059</v>
      </c>
      <c r="B828" s="83" t="s">
        <v>219</v>
      </c>
      <c r="C828" s="42" t="s">
        <v>79</v>
      </c>
      <c r="D828" s="60"/>
    </row>
    <row r="829">
      <c r="A829" s="82" t="s">
        <v>1060</v>
      </c>
      <c r="B829" s="83" t="s">
        <v>219</v>
      </c>
      <c r="C829" s="42" t="s">
        <v>79</v>
      </c>
      <c r="D829" s="60"/>
    </row>
    <row r="830">
      <c r="A830" s="82" t="s">
        <v>1062</v>
      </c>
      <c r="B830" s="83" t="s">
        <v>219</v>
      </c>
      <c r="C830" s="42" t="s">
        <v>79</v>
      </c>
      <c r="D830" s="60"/>
    </row>
    <row r="831">
      <c r="A831" s="82" t="s">
        <v>1064</v>
      </c>
      <c r="B831" s="83" t="s">
        <v>219</v>
      </c>
      <c r="C831" s="42" t="s">
        <v>79</v>
      </c>
      <c r="D831" s="60"/>
    </row>
    <row r="832">
      <c r="A832" s="82" t="s">
        <v>1066</v>
      </c>
      <c r="B832" s="83" t="s">
        <v>219</v>
      </c>
      <c r="C832" s="42" t="s">
        <v>79</v>
      </c>
      <c r="D832" s="60"/>
    </row>
    <row r="833">
      <c r="A833" s="82" t="s">
        <v>1068</v>
      </c>
      <c r="B833" s="83" t="s">
        <v>219</v>
      </c>
      <c r="C833" s="42" t="s">
        <v>79</v>
      </c>
      <c r="D833" s="60"/>
    </row>
    <row r="834">
      <c r="A834" s="82" t="s">
        <v>1070</v>
      </c>
      <c r="B834" s="83" t="s">
        <v>219</v>
      </c>
      <c r="C834" s="42" t="s">
        <v>79</v>
      </c>
      <c r="D834" s="60"/>
    </row>
    <row r="835">
      <c r="A835" s="82" t="s">
        <v>1072</v>
      </c>
      <c r="B835" s="83" t="s">
        <v>219</v>
      </c>
      <c r="C835" s="42" t="s">
        <v>79</v>
      </c>
      <c r="D835" s="60"/>
    </row>
    <row r="836">
      <c r="A836" s="82" t="s">
        <v>1074</v>
      </c>
      <c r="B836" s="83" t="s">
        <v>219</v>
      </c>
      <c r="C836" s="42" t="s">
        <v>79</v>
      </c>
      <c r="D836" s="60"/>
    </row>
    <row r="837">
      <c r="A837" s="82" t="s">
        <v>1076</v>
      </c>
      <c r="B837" s="83" t="s">
        <v>219</v>
      </c>
      <c r="C837" s="42" t="s">
        <v>79</v>
      </c>
      <c r="D837" s="60"/>
    </row>
    <row r="838">
      <c r="A838" s="82" t="s">
        <v>1077</v>
      </c>
      <c r="B838" s="83" t="s">
        <v>219</v>
      </c>
      <c r="C838" s="42" t="s">
        <v>79</v>
      </c>
      <c r="D838" s="60"/>
    </row>
    <row r="839">
      <c r="A839" s="82" t="s">
        <v>1079</v>
      </c>
      <c r="B839" s="83" t="s">
        <v>219</v>
      </c>
      <c r="C839" s="42" t="s">
        <v>79</v>
      </c>
      <c r="D839" s="60"/>
    </row>
    <row r="840">
      <c r="A840" s="82" t="s">
        <v>1081</v>
      </c>
      <c r="B840" s="83" t="s">
        <v>219</v>
      </c>
      <c r="C840" s="42" t="s">
        <v>79</v>
      </c>
      <c r="D840" s="60"/>
    </row>
    <row r="841">
      <c r="A841" s="82" t="s">
        <v>1083</v>
      </c>
      <c r="B841" s="83" t="s">
        <v>219</v>
      </c>
      <c r="C841" s="42" t="s">
        <v>79</v>
      </c>
      <c r="D841" s="60"/>
    </row>
    <row r="842">
      <c r="A842" s="82" t="s">
        <v>1085</v>
      </c>
      <c r="B842" s="83" t="s">
        <v>219</v>
      </c>
      <c r="C842" s="42" t="s">
        <v>79</v>
      </c>
      <c r="D842" s="60"/>
    </row>
    <row r="843">
      <c r="A843" s="82" t="s">
        <v>1087</v>
      </c>
      <c r="B843" s="83" t="s">
        <v>219</v>
      </c>
      <c r="C843" s="42" t="s">
        <v>79</v>
      </c>
      <c r="D843" s="60"/>
    </row>
    <row r="844">
      <c r="A844" s="82" t="s">
        <v>1089</v>
      </c>
      <c r="B844" s="83" t="s">
        <v>219</v>
      </c>
      <c r="C844" s="42" t="s">
        <v>79</v>
      </c>
      <c r="D844" s="60"/>
    </row>
    <row r="845">
      <c r="A845" s="84" t="s">
        <v>1091</v>
      </c>
      <c r="B845" s="85" t="s">
        <v>222</v>
      </c>
      <c r="C845" s="42" t="s">
        <v>79</v>
      </c>
      <c r="D845" s="60"/>
    </row>
    <row r="846">
      <c r="A846" s="84" t="s">
        <v>1092</v>
      </c>
      <c r="B846" s="85" t="s">
        <v>222</v>
      </c>
      <c r="C846" s="42" t="s">
        <v>79</v>
      </c>
      <c r="D846" s="60"/>
    </row>
    <row r="847">
      <c r="A847" s="84" t="s">
        <v>1098</v>
      </c>
      <c r="B847" s="85" t="s">
        <v>222</v>
      </c>
      <c r="C847" s="42" t="s">
        <v>79</v>
      </c>
      <c r="D847" s="60"/>
    </row>
    <row r="848">
      <c r="A848" s="84" t="s">
        <v>1100</v>
      </c>
      <c r="B848" s="85" t="s">
        <v>222</v>
      </c>
      <c r="C848" s="42" t="s">
        <v>79</v>
      </c>
      <c r="D848" s="60"/>
    </row>
    <row r="849">
      <c r="A849" s="84" t="s">
        <v>1101</v>
      </c>
      <c r="B849" s="85" t="s">
        <v>222</v>
      </c>
      <c r="C849" s="42" t="s">
        <v>79</v>
      </c>
      <c r="D849" s="60"/>
    </row>
    <row r="850">
      <c r="A850" s="84" t="s">
        <v>1103</v>
      </c>
      <c r="B850" s="85" t="s">
        <v>222</v>
      </c>
      <c r="C850" s="42" t="s">
        <v>79</v>
      </c>
      <c r="D850" s="60"/>
    </row>
    <row r="851">
      <c r="A851" s="84" t="s">
        <v>1105</v>
      </c>
      <c r="B851" s="85" t="s">
        <v>222</v>
      </c>
      <c r="C851" s="42" t="s">
        <v>79</v>
      </c>
      <c r="D851" s="60"/>
    </row>
    <row r="852">
      <c r="A852" s="84" t="s">
        <v>1106</v>
      </c>
      <c r="B852" s="85" t="s">
        <v>222</v>
      </c>
      <c r="C852" s="42" t="s">
        <v>79</v>
      </c>
      <c r="D852" s="60"/>
    </row>
    <row r="853">
      <c r="A853" s="84" t="s">
        <v>1107</v>
      </c>
      <c r="B853" s="85" t="s">
        <v>222</v>
      </c>
      <c r="C853" s="42" t="s">
        <v>79</v>
      </c>
      <c r="D853" s="60"/>
    </row>
    <row r="854">
      <c r="A854" s="84" t="s">
        <v>1108</v>
      </c>
      <c r="B854" s="85" t="s">
        <v>222</v>
      </c>
      <c r="C854" s="42" t="s">
        <v>79</v>
      </c>
      <c r="D854" s="60"/>
    </row>
    <row r="855">
      <c r="A855" s="84" t="s">
        <v>1109</v>
      </c>
      <c r="B855" s="85" t="s">
        <v>222</v>
      </c>
      <c r="C855" s="42" t="s">
        <v>79</v>
      </c>
      <c r="D855" s="60"/>
    </row>
    <row r="856">
      <c r="A856" s="84" t="s">
        <v>1110</v>
      </c>
      <c r="B856" s="85" t="s">
        <v>222</v>
      </c>
      <c r="C856" s="42" t="s">
        <v>79</v>
      </c>
      <c r="D856" s="60"/>
    </row>
    <row r="857">
      <c r="A857" s="84" t="s">
        <v>1111</v>
      </c>
      <c r="B857" s="85" t="s">
        <v>222</v>
      </c>
      <c r="C857" s="42" t="s">
        <v>79</v>
      </c>
      <c r="D857" s="60"/>
    </row>
    <row r="858">
      <c r="A858" s="84" t="s">
        <v>1112</v>
      </c>
      <c r="B858" s="85" t="s">
        <v>222</v>
      </c>
      <c r="C858" s="42" t="s">
        <v>79</v>
      </c>
      <c r="D858" s="60"/>
    </row>
    <row r="859">
      <c r="A859" s="84" t="s">
        <v>1113</v>
      </c>
      <c r="B859" s="85" t="s">
        <v>222</v>
      </c>
      <c r="C859" s="42" t="s">
        <v>79</v>
      </c>
      <c r="D859" s="60"/>
    </row>
    <row r="860">
      <c r="A860" s="84" t="s">
        <v>1114</v>
      </c>
      <c r="B860" s="85" t="s">
        <v>222</v>
      </c>
      <c r="C860" s="42" t="s">
        <v>79</v>
      </c>
      <c r="D860" s="60"/>
    </row>
    <row r="861">
      <c r="A861" s="84" t="s">
        <v>1115</v>
      </c>
      <c r="B861" s="85" t="s">
        <v>222</v>
      </c>
      <c r="C861" s="42" t="s">
        <v>79</v>
      </c>
      <c r="D861" s="60"/>
    </row>
    <row r="862">
      <c r="A862" s="82" t="s">
        <v>1116</v>
      </c>
      <c r="B862" s="83" t="s">
        <v>219</v>
      </c>
      <c r="C862" s="42" t="s">
        <v>79</v>
      </c>
      <c r="D862" s="60"/>
    </row>
    <row r="863">
      <c r="A863" s="82" t="s">
        <v>1117</v>
      </c>
      <c r="B863" s="83" t="s">
        <v>219</v>
      </c>
      <c r="C863" s="42" t="s">
        <v>79</v>
      </c>
      <c r="D863" s="60"/>
    </row>
    <row r="864">
      <c r="A864" s="82" t="s">
        <v>1118</v>
      </c>
      <c r="B864" s="83" t="s">
        <v>219</v>
      </c>
      <c r="C864" s="42" t="s">
        <v>79</v>
      </c>
      <c r="D864" s="60"/>
    </row>
    <row r="865">
      <c r="A865" s="82" t="s">
        <v>1119</v>
      </c>
      <c r="B865" s="83" t="s">
        <v>219</v>
      </c>
      <c r="C865" s="42" t="s">
        <v>79</v>
      </c>
      <c r="D865" s="60"/>
    </row>
    <row r="866">
      <c r="A866" s="84" t="s">
        <v>1120</v>
      </c>
      <c r="B866" s="85" t="s">
        <v>454</v>
      </c>
      <c r="C866" s="42" t="s">
        <v>79</v>
      </c>
      <c r="D866" s="60"/>
    </row>
    <row r="867">
      <c r="A867" s="84" t="s">
        <v>1121</v>
      </c>
      <c r="B867" s="85" t="s">
        <v>454</v>
      </c>
      <c r="C867" s="42" t="s">
        <v>79</v>
      </c>
      <c r="D867" s="60"/>
    </row>
    <row r="868">
      <c r="A868" s="84" t="s">
        <v>1122</v>
      </c>
      <c r="B868" s="85" t="s">
        <v>454</v>
      </c>
      <c r="C868" s="42" t="s">
        <v>79</v>
      </c>
      <c r="D868" s="60"/>
    </row>
    <row r="869">
      <c r="A869" s="84" t="s">
        <v>1123</v>
      </c>
      <c r="B869" s="85" t="s">
        <v>454</v>
      </c>
      <c r="C869" s="42" t="s">
        <v>79</v>
      </c>
      <c r="D869" s="60"/>
    </row>
    <row r="870">
      <c r="A870" s="84" t="s">
        <v>1124</v>
      </c>
      <c r="B870" s="85" t="s">
        <v>454</v>
      </c>
      <c r="C870" s="42" t="s">
        <v>79</v>
      </c>
      <c r="D870" s="60"/>
    </row>
    <row r="871">
      <c r="A871" s="84" t="s">
        <v>1125</v>
      </c>
      <c r="B871" s="85" t="s">
        <v>454</v>
      </c>
      <c r="C871" s="42" t="s">
        <v>79</v>
      </c>
      <c r="D871" s="60"/>
    </row>
    <row r="872">
      <c r="A872" s="84" t="s">
        <v>1126</v>
      </c>
      <c r="B872" s="85" t="s">
        <v>454</v>
      </c>
      <c r="C872" s="42" t="s">
        <v>79</v>
      </c>
      <c r="D872" s="60"/>
    </row>
    <row r="873">
      <c r="A873" s="84" t="s">
        <v>1127</v>
      </c>
      <c r="B873" s="85" t="s">
        <v>454</v>
      </c>
      <c r="C873" s="42" t="s">
        <v>79</v>
      </c>
      <c r="D873" s="60"/>
    </row>
    <row r="874">
      <c r="A874" s="84" t="s">
        <v>1128</v>
      </c>
      <c r="B874" s="85" t="s">
        <v>454</v>
      </c>
      <c r="C874" s="42" t="s">
        <v>79</v>
      </c>
      <c r="D874" s="60"/>
    </row>
    <row r="875">
      <c r="A875" s="84" t="s">
        <v>1129</v>
      </c>
      <c r="B875" s="85" t="s">
        <v>454</v>
      </c>
      <c r="C875" s="42" t="s">
        <v>79</v>
      </c>
      <c r="D875" s="60"/>
    </row>
    <row r="876">
      <c r="A876" s="84" t="s">
        <v>1130</v>
      </c>
      <c r="B876" s="85" t="s">
        <v>454</v>
      </c>
      <c r="C876" s="42" t="s">
        <v>79</v>
      </c>
      <c r="D876" s="60"/>
    </row>
    <row r="877">
      <c r="A877" s="84" t="s">
        <v>1131</v>
      </c>
      <c r="B877" s="85" t="s">
        <v>454</v>
      </c>
      <c r="C877" s="42" t="s">
        <v>79</v>
      </c>
      <c r="D877" s="60"/>
    </row>
    <row r="878">
      <c r="A878" s="84" t="s">
        <v>1132</v>
      </c>
      <c r="B878" s="85" t="s">
        <v>454</v>
      </c>
      <c r="C878" s="42" t="s">
        <v>79</v>
      </c>
      <c r="D878" s="60"/>
    </row>
    <row r="879">
      <c r="A879" s="84" t="s">
        <v>1133</v>
      </c>
      <c r="B879" s="85" t="s">
        <v>454</v>
      </c>
      <c r="C879" s="42" t="s">
        <v>79</v>
      </c>
      <c r="D879" s="60"/>
    </row>
    <row r="880">
      <c r="A880" s="84" t="s">
        <v>1134</v>
      </c>
      <c r="B880" s="85" t="s">
        <v>454</v>
      </c>
      <c r="C880" s="42" t="s">
        <v>79</v>
      </c>
      <c r="D880" s="60"/>
    </row>
    <row r="881">
      <c r="A881" s="84" t="s">
        <v>1135</v>
      </c>
      <c r="B881" s="85" t="s">
        <v>454</v>
      </c>
      <c r="C881" s="42" t="s">
        <v>79</v>
      </c>
      <c r="D881" s="60"/>
    </row>
    <row r="882">
      <c r="A882" s="84" t="s">
        <v>1135</v>
      </c>
      <c r="B882" s="85" t="s">
        <v>454</v>
      </c>
      <c r="C882" s="42" t="s">
        <v>79</v>
      </c>
      <c r="D882" s="60"/>
    </row>
    <row r="883">
      <c r="A883" s="84" t="s">
        <v>1136</v>
      </c>
      <c r="B883" s="85" t="s">
        <v>454</v>
      </c>
      <c r="C883" s="42" t="s">
        <v>79</v>
      </c>
      <c r="D883" s="60"/>
    </row>
    <row r="884">
      <c r="A884" s="84" t="s">
        <v>1137</v>
      </c>
      <c r="B884" s="85" t="s">
        <v>454</v>
      </c>
      <c r="C884" s="42" t="s">
        <v>79</v>
      </c>
      <c r="D884" s="60"/>
    </row>
    <row r="885">
      <c r="A885" s="84" t="s">
        <v>1138</v>
      </c>
      <c r="B885" s="85" t="s">
        <v>454</v>
      </c>
      <c r="C885" s="42" t="s">
        <v>79</v>
      </c>
      <c r="D885" s="60"/>
    </row>
    <row r="886">
      <c r="A886" s="82" t="s">
        <v>1139</v>
      </c>
      <c r="B886" s="94" t="s">
        <v>315</v>
      </c>
      <c r="C886" s="42" t="s">
        <v>79</v>
      </c>
      <c r="D886" s="60"/>
    </row>
    <row r="887">
      <c r="A887" s="82" t="s">
        <v>1140</v>
      </c>
      <c r="B887" s="94" t="s">
        <v>315</v>
      </c>
      <c r="C887" s="42" t="s">
        <v>79</v>
      </c>
      <c r="D887" s="60"/>
    </row>
    <row r="888">
      <c r="A888" s="82" t="s">
        <v>1141</v>
      </c>
      <c r="B888" s="94" t="s">
        <v>315</v>
      </c>
      <c r="C888" s="42" t="s">
        <v>79</v>
      </c>
      <c r="D888" s="60"/>
    </row>
    <row r="889">
      <c r="A889" s="82" t="s">
        <v>1142</v>
      </c>
      <c r="B889" s="94" t="s">
        <v>315</v>
      </c>
      <c r="C889" s="42" t="s">
        <v>79</v>
      </c>
      <c r="D889" s="60"/>
    </row>
    <row r="890">
      <c r="A890" s="82" t="s">
        <v>1143</v>
      </c>
      <c r="B890" s="94" t="s">
        <v>315</v>
      </c>
      <c r="C890" s="42" t="s">
        <v>79</v>
      </c>
      <c r="D890" s="60"/>
    </row>
    <row r="891">
      <c r="A891" s="74" t="s">
        <v>1144</v>
      </c>
      <c r="B891" s="94" t="s">
        <v>315</v>
      </c>
      <c r="C891" s="42" t="s">
        <v>79</v>
      </c>
      <c r="D891" s="60"/>
    </row>
    <row r="892">
      <c r="A892" s="74" t="s">
        <v>1145</v>
      </c>
      <c r="B892" s="94" t="s">
        <v>315</v>
      </c>
      <c r="C892" s="42" t="s">
        <v>79</v>
      </c>
      <c r="D892" s="60"/>
    </row>
    <row r="893">
      <c r="A893" s="74" t="s">
        <v>1146</v>
      </c>
      <c r="B893" s="94" t="s">
        <v>315</v>
      </c>
      <c r="C893" s="42" t="s">
        <v>79</v>
      </c>
      <c r="D893" s="60"/>
    </row>
    <row r="894">
      <c r="A894" s="74" t="s">
        <v>1147</v>
      </c>
      <c r="B894" s="94" t="s">
        <v>315</v>
      </c>
      <c r="C894" s="42" t="s">
        <v>79</v>
      </c>
      <c r="D894" s="60"/>
    </row>
    <row r="895">
      <c r="A895" s="82" t="s">
        <v>1148</v>
      </c>
      <c r="B895" s="94" t="s">
        <v>315</v>
      </c>
      <c r="C895" s="42" t="s">
        <v>79</v>
      </c>
      <c r="D895" s="60"/>
    </row>
    <row r="896">
      <c r="A896" s="82" t="s">
        <v>1149</v>
      </c>
      <c r="B896" s="94" t="s">
        <v>315</v>
      </c>
      <c r="C896" s="42" t="s">
        <v>79</v>
      </c>
      <c r="D896" s="60"/>
    </row>
    <row r="897">
      <c r="A897" s="82" t="s">
        <v>1150</v>
      </c>
      <c r="B897" s="94" t="s">
        <v>315</v>
      </c>
      <c r="C897" s="42" t="s">
        <v>79</v>
      </c>
      <c r="D897" s="60"/>
    </row>
    <row r="898">
      <c r="A898" s="82" t="s">
        <v>1151</v>
      </c>
      <c r="B898" s="94" t="s">
        <v>315</v>
      </c>
      <c r="C898" s="42" t="s">
        <v>79</v>
      </c>
      <c r="D898" s="60"/>
    </row>
    <row r="899">
      <c r="A899" s="82" t="s">
        <v>1152</v>
      </c>
      <c r="B899" s="94" t="s">
        <v>315</v>
      </c>
      <c r="C899" s="42" t="s">
        <v>79</v>
      </c>
      <c r="D899" s="60"/>
    </row>
    <row r="900">
      <c r="A900" s="82" t="s">
        <v>1153</v>
      </c>
      <c r="B900" s="94" t="s">
        <v>315</v>
      </c>
      <c r="C900" s="42" t="s">
        <v>79</v>
      </c>
      <c r="D900" s="60"/>
    </row>
    <row r="901">
      <c r="A901" s="84" t="s">
        <v>1154</v>
      </c>
      <c r="B901" s="95" t="s">
        <v>313</v>
      </c>
      <c r="C901" s="42" t="s">
        <v>79</v>
      </c>
      <c r="D901" s="60"/>
    </row>
    <row r="902">
      <c r="A902" s="84" t="s">
        <v>1155</v>
      </c>
      <c r="B902" s="95" t="s">
        <v>313</v>
      </c>
      <c r="C902" s="42" t="s">
        <v>79</v>
      </c>
      <c r="D902" s="60"/>
    </row>
    <row r="903">
      <c r="A903" s="84" t="s">
        <v>1156</v>
      </c>
      <c r="B903" s="95" t="s">
        <v>313</v>
      </c>
      <c r="C903" s="42" t="s">
        <v>79</v>
      </c>
      <c r="D903" s="60"/>
    </row>
    <row r="904">
      <c r="A904" s="84" t="s">
        <v>1157</v>
      </c>
      <c r="B904" s="95" t="s">
        <v>313</v>
      </c>
      <c r="C904" s="42" t="s">
        <v>79</v>
      </c>
      <c r="D904" s="60"/>
    </row>
    <row r="905">
      <c r="A905" s="84" t="s">
        <v>1158</v>
      </c>
      <c r="B905" s="95" t="s">
        <v>313</v>
      </c>
      <c r="C905" s="42" t="s">
        <v>79</v>
      </c>
      <c r="D905" s="60"/>
    </row>
    <row r="906">
      <c r="A906" s="84" t="s">
        <v>1159</v>
      </c>
      <c r="B906" s="95" t="s">
        <v>313</v>
      </c>
      <c r="C906" s="42" t="s">
        <v>79</v>
      </c>
      <c r="D906" s="60"/>
    </row>
    <row r="907">
      <c r="A907" s="84" t="s">
        <v>1160</v>
      </c>
      <c r="B907" s="95" t="s">
        <v>313</v>
      </c>
      <c r="C907" s="42" t="s">
        <v>79</v>
      </c>
      <c r="D907" s="60"/>
    </row>
    <row r="908">
      <c r="A908" s="84" t="s">
        <v>1161</v>
      </c>
      <c r="B908" s="95" t="s">
        <v>313</v>
      </c>
      <c r="C908" s="42" t="s">
        <v>79</v>
      </c>
      <c r="D908" s="60"/>
    </row>
    <row r="909">
      <c r="A909" s="84" t="s">
        <v>1162</v>
      </c>
      <c r="B909" s="95" t="s">
        <v>313</v>
      </c>
      <c r="C909" s="42" t="s">
        <v>79</v>
      </c>
      <c r="D909" s="60"/>
    </row>
    <row r="910">
      <c r="A910" s="84" t="s">
        <v>1163</v>
      </c>
      <c r="B910" s="95" t="s">
        <v>313</v>
      </c>
      <c r="C910" s="42" t="s">
        <v>79</v>
      </c>
      <c r="D910" s="60"/>
    </row>
    <row r="911">
      <c r="A911" s="84" t="s">
        <v>1164</v>
      </c>
      <c r="B911" s="95" t="s">
        <v>313</v>
      </c>
      <c r="C911" s="42" t="s">
        <v>79</v>
      </c>
      <c r="D911" s="60"/>
    </row>
    <row r="912">
      <c r="A912" s="84" t="s">
        <v>1165</v>
      </c>
      <c r="B912" s="95" t="s">
        <v>313</v>
      </c>
      <c r="C912" s="42" t="s">
        <v>79</v>
      </c>
      <c r="D912" s="60"/>
    </row>
    <row r="913">
      <c r="A913" s="84" t="s">
        <v>1166</v>
      </c>
      <c r="B913" s="95" t="s">
        <v>313</v>
      </c>
      <c r="C913" s="42" t="s">
        <v>79</v>
      </c>
      <c r="D913" s="60"/>
    </row>
    <row r="914">
      <c r="A914" s="84" t="s">
        <v>1167</v>
      </c>
      <c r="B914" s="95" t="s">
        <v>313</v>
      </c>
      <c r="C914" s="42" t="s">
        <v>79</v>
      </c>
      <c r="D914" s="60"/>
    </row>
    <row r="915">
      <c r="A915" s="84" t="s">
        <v>1168</v>
      </c>
      <c r="B915" s="95" t="s">
        <v>313</v>
      </c>
      <c r="C915" s="42" t="s">
        <v>79</v>
      </c>
      <c r="D915" s="60"/>
    </row>
    <row r="916">
      <c r="A916" s="84" t="s">
        <v>1169</v>
      </c>
      <c r="B916" s="95" t="s">
        <v>313</v>
      </c>
      <c r="C916" s="42" t="s">
        <v>79</v>
      </c>
      <c r="D916" s="60"/>
    </row>
    <row r="917">
      <c r="A917" s="84" t="s">
        <v>1170</v>
      </c>
      <c r="B917" s="95" t="s">
        <v>313</v>
      </c>
      <c r="C917" s="42" t="s">
        <v>79</v>
      </c>
      <c r="D917" s="60"/>
    </row>
    <row r="918">
      <c r="A918" s="84" t="s">
        <v>1171</v>
      </c>
      <c r="B918" s="95" t="s">
        <v>313</v>
      </c>
      <c r="C918" s="42" t="s">
        <v>79</v>
      </c>
      <c r="D918" s="60"/>
    </row>
    <row r="919">
      <c r="A919" s="84" t="s">
        <v>1172</v>
      </c>
      <c r="B919" s="95" t="s">
        <v>313</v>
      </c>
      <c r="C919" s="42" t="s">
        <v>79</v>
      </c>
      <c r="D919" s="60"/>
    </row>
    <row r="920">
      <c r="A920" s="84" t="s">
        <v>1173</v>
      </c>
      <c r="B920" s="95" t="s">
        <v>313</v>
      </c>
      <c r="C920" s="42" t="s">
        <v>79</v>
      </c>
      <c r="D920" s="60"/>
    </row>
    <row r="921">
      <c r="A921" s="84" t="s">
        <v>1174</v>
      </c>
      <c r="B921" s="95" t="s">
        <v>313</v>
      </c>
      <c r="C921" s="42" t="s">
        <v>79</v>
      </c>
      <c r="D921" s="60"/>
    </row>
    <row r="922">
      <c r="A922" s="84" t="s">
        <v>1175</v>
      </c>
      <c r="B922" s="95" t="s">
        <v>313</v>
      </c>
      <c r="C922" s="42" t="s">
        <v>79</v>
      </c>
      <c r="D922" s="60"/>
    </row>
    <row r="923">
      <c r="A923" s="84" t="s">
        <v>1176</v>
      </c>
      <c r="B923" s="95" t="s">
        <v>313</v>
      </c>
      <c r="C923" s="42" t="s">
        <v>79</v>
      </c>
      <c r="D923" s="60"/>
    </row>
    <row r="924">
      <c r="A924" s="84" t="s">
        <v>1177</v>
      </c>
      <c r="B924" s="95" t="s">
        <v>313</v>
      </c>
      <c r="C924" s="42" t="s">
        <v>79</v>
      </c>
      <c r="D924" s="60"/>
    </row>
    <row r="925">
      <c r="A925" s="84" t="s">
        <v>1178</v>
      </c>
      <c r="B925" s="95" t="s">
        <v>313</v>
      </c>
      <c r="C925" s="42" t="s">
        <v>79</v>
      </c>
      <c r="D925" s="60"/>
    </row>
    <row r="926">
      <c r="A926" s="84" t="s">
        <v>1179</v>
      </c>
      <c r="B926" s="95" t="s">
        <v>313</v>
      </c>
      <c r="C926" s="42" t="s">
        <v>79</v>
      </c>
      <c r="D926" s="60"/>
    </row>
    <row r="927">
      <c r="A927" s="84" t="s">
        <v>1180</v>
      </c>
      <c r="B927" s="95" t="s">
        <v>313</v>
      </c>
      <c r="C927" s="42" t="s">
        <v>79</v>
      </c>
      <c r="D927" s="60"/>
    </row>
    <row r="928">
      <c r="A928" s="84" t="s">
        <v>1181</v>
      </c>
      <c r="B928" s="95" t="s">
        <v>313</v>
      </c>
      <c r="C928" s="42" t="s">
        <v>79</v>
      </c>
      <c r="D928" s="60"/>
    </row>
    <row r="929">
      <c r="A929" s="84" t="s">
        <v>1182</v>
      </c>
      <c r="B929" s="95" t="s">
        <v>313</v>
      </c>
      <c r="C929" s="42" t="s">
        <v>79</v>
      </c>
      <c r="D929" s="60"/>
    </row>
    <row r="930">
      <c r="A930" s="84" t="s">
        <v>1183</v>
      </c>
      <c r="B930" s="95" t="s">
        <v>313</v>
      </c>
      <c r="C930" s="42" t="s">
        <v>79</v>
      </c>
      <c r="D930" s="60"/>
    </row>
    <row r="931">
      <c r="A931" s="84" t="s">
        <v>1184</v>
      </c>
      <c r="B931" s="95" t="s">
        <v>313</v>
      </c>
      <c r="C931" s="42" t="s">
        <v>79</v>
      </c>
      <c r="D931" s="60"/>
    </row>
    <row r="932">
      <c r="A932" s="84" t="s">
        <v>1185</v>
      </c>
      <c r="B932" s="95" t="s">
        <v>313</v>
      </c>
      <c r="C932" s="42" t="s">
        <v>79</v>
      </c>
      <c r="D932" s="60"/>
    </row>
    <row r="933">
      <c r="A933" s="84" t="s">
        <v>1186</v>
      </c>
      <c r="B933" s="95" t="s">
        <v>313</v>
      </c>
      <c r="C933" s="42" t="s">
        <v>79</v>
      </c>
      <c r="D933" s="60"/>
    </row>
    <row r="934">
      <c r="A934" s="84" t="s">
        <v>1187</v>
      </c>
      <c r="B934" s="95" t="s">
        <v>313</v>
      </c>
      <c r="C934" s="42" t="s">
        <v>79</v>
      </c>
      <c r="D934" s="60"/>
    </row>
    <row r="935">
      <c r="A935" s="84" t="s">
        <v>1188</v>
      </c>
      <c r="B935" s="95" t="s">
        <v>313</v>
      </c>
      <c r="C935" s="42" t="s">
        <v>79</v>
      </c>
      <c r="D935" s="60"/>
    </row>
    <row r="936">
      <c r="A936" s="84" t="s">
        <v>1189</v>
      </c>
      <c r="B936" s="95" t="s">
        <v>313</v>
      </c>
      <c r="C936" s="42" t="s">
        <v>79</v>
      </c>
      <c r="D936" s="60"/>
    </row>
    <row r="937">
      <c r="A937" s="84" t="s">
        <v>1190</v>
      </c>
      <c r="B937" s="95" t="s">
        <v>313</v>
      </c>
      <c r="C937" s="42" t="s">
        <v>79</v>
      </c>
      <c r="D937" s="60"/>
    </row>
    <row r="938">
      <c r="A938" s="84" t="s">
        <v>1191</v>
      </c>
      <c r="B938" s="95" t="s">
        <v>313</v>
      </c>
      <c r="C938" s="42" t="s">
        <v>79</v>
      </c>
      <c r="D938" s="60"/>
    </row>
    <row r="939">
      <c r="A939" s="74" t="s">
        <v>1192</v>
      </c>
      <c r="B939" s="73" t="s">
        <v>243</v>
      </c>
      <c r="C939" s="42" t="s">
        <v>79</v>
      </c>
      <c r="D939" s="60"/>
    </row>
    <row r="940">
      <c r="A940" s="74" t="s">
        <v>1193</v>
      </c>
      <c r="B940" s="73" t="s">
        <v>243</v>
      </c>
      <c r="C940" s="42" t="s">
        <v>79</v>
      </c>
      <c r="D940" s="60"/>
    </row>
    <row r="941">
      <c r="A941" s="74" t="s">
        <v>1194</v>
      </c>
      <c r="B941" s="73" t="s">
        <v>243</v>
      </c>
      <c r="C941" s="42" t="s">
        <v>79</v>
      </c>
      <c r="D941" s="60"/>
    </row>
    <row r="942">
      <c r="A942" s="74" t="s">
        <v>1195</v>
      </c>
      <c r="B942" s="73" t="s">
        <v>243</v>
      </c>
      <c r="C942" s="42" t="s">
        <v>79</v>
      </c>
      <c r="D942" s="60"/>
    </row>
    <row r="943">
      <c r="A943" s="74" t="s">
        <v>1196</v>
      </c>
      <c r="B943" s="73" t="s">
        <v>243</v>
      </c>
      <c r="C943" s="42" t="s">
        <v>79</v>
      </c>
      <c r="D943" s="60"/>
    </row>
    <row r="944">
      <c r="A944" s="74" t="s">
        <v>1197</v>
      </c>
      <c r="B944" s="73" t="s">
        <v>243</v>
      </c>
      <c r="C944" s="42" t="s">
        <v>79</v>
      </c>
      <c r="D944" s="60"/>
    </row>
    <row r="945">
      <c r="A945" s="74" t="s">
        <v>1198</v>
      </c>
      <c r="B945" s="73" t="s">
        <v>243</v>
      </c>
      <c r="C945" s="42" t="s">
        <v>79</v>
      </c>
      <c r="D945" s="60"/>
    </row>
    <row r="946">
      <c r="A946" s="92" t="s">
        <v>1199</v>
      </c>
      <c r="B946" s="93" t="s">
        <v>392</v>
      </c>
      <c r="C946" s="42" t="s">
        <v>79</v>
      </c>
      <c r="D946" s="60"/>
    </row>
    <row r="947">
      <c r="A947" s="92" t="s">
        <v>1200</v>
      </c>
      <c r="B947" s="93" t="s">
        <v>392</v>
      </c>
      <c r="C947" s="42" t="s">
        <v>79</v>
      </c>
      <c r="D947" s="60"/>
    </row>
    <row r="948">
      <c r="A948" s="92" t="s">
        <v>1201</v>
      </c>
      <c r="B948" s="93" t="s">
        <v>392</v>
      </c>
      <c r="C948" s="42" t="s">
        <v>79</v>
      </c>
      <c r="D948" s="60"/>
    </row>
    <row r="949">
      <c r="A949" s="92" t="s">
        <v>1202</v>
      </c>
      <c r="B949" s="93" t="s">
        <v>392</v>
      </c>
      <c r="C949" s="42" t="s">
        <v>79</v>
      </c>
      <c r="D949" s="60"/>
    </row>
    <row r="950">
      <c r="A950" s="92" t="s">
        <v>1203</v>
      </c>
      <c r="B950" s="93" t="s">
        <v>392</v>
      </c>
      <c r="C950" s="42" t="s">
        <v>79</v>
      </c>
      <c r="D950" s="60"/>
    </row>
    <row r="951">
      <c r="A951" s="92" t="s">
        <v>1204</v>
      </c>
      <c r="B951" s="93" t="s">
        <v>392</v>
      </c>
      <c r="C951" s="42" t="s">
        <v>79</v>
      </c>
      <c r="D951" s="60"/>
    </row>
    <row r="952">
      <c r="A952" s="92" t="s">
        <v>1205</v>
      </c>
      <c r="B952" s="93" t="s">
        <v>392</v>
      </c>
      <c r="C952" s="42" t="s">
        <v>79</v>
      </c>
      <c r="D952" s="60"/>
    </row>
    <row r="953">
      <c r="A953" s="92" t="s">
        <v>1206</v>
      </c>
      <c r="B953" s="93" t="s">
        <v>392</v>
      </c>
      <c r="C953" s="42" t="s">
        <v>79</v>
      </c>
      <c r="D953" s="60"/>
    </row>
    <row r="954">
      <c r="A954" s="92" t="s">
        <v>1207</v>
      </c>
      <c r="B954" s="93" t="s">
        <v>392</v>
      </c>
      <c r="C954" s="42" t="s">
        <v>79</v>
      </c>
      <c r="D954" s="60"/>
    </row>
    <row r="955">
      <c r="A955" s="92" t="s">
        <v>1208</v>
      </c>
      <c r="B955" s="93" t="s">
        <v>392</v>
      </c>
      <c r="C955" s="42" t="s">
        <v>79</v>
      </c>
      <c r="D955" s="60"/>
    </row>
    <row r="956">
      <c r="A956" s="92" t="s">
        <v>1209</v>
      </c>
      <c r="B956" s="93" t="s">
        <v>392</v>
      </c>
      <c r="C956" s="42" t="s">
        <v>79</v>
      </c>
      <c r="D956" s="60"/>
    </row>
    <row r="957">
      <c r="A957" s="92" t="s">
        <v>1210</v>
      </c>
      <c r="B957" s="93" t="s">
        <v>392</v>
      </c>
      <c r="C957" s="42" t="s">
        <v>79</v>
      </c>
      <c r="D957" s="60"/>
    </row>
    <row r="958">
      <c r="A958" s="74" t="s">
        <v>1211</v>
      </c>
      <c r="B958" s="73" t="s">
        <v>234</v>
      </c>
      <c r="C958" s="42" t="s">
        <v>79</v>
      </c>
      <c r="D958" s="60"/>
    </row>
    <row r="959">
      <c r="A959" s="74" t="s">
        <v>1212</v>
      </c>
      <c r="B959" s="73" t="s">
        <v>234</v>
      </c>
      <c r="C959" s="42" t="s">
        <v>79</v>
      </c>
      <c r="D959" s="60"/>
    </row>
    <row r="960">
      <c r="A960" s="74" t="s">
        <v>1213</v>
      </c>
      <c r="B960" s="73" t="s">
        <v>234</v>
      </c>
      <c r="C960" s="42" t="s">
        <v>79</v>
      </c>
      <c r="D960" s="60"/>
    </row>
    <row r="961">
      <c r="A961" s="74" t="s">
        <v>1214</v>
      </c>
      <c r="B961" s="73" t="s">
        <v>234</v>
      </c>
      <c r="C961" s="42" t="s">
        <v>79</v>
      </c>
      <c r="D961" s="60"/>
    </row>
    <row r="962">
      <c r="A962" s="74" t="s">
        <v>1215</v>
      </c>
      <c r="B962" s="73" t="s">
        <v>234</v>
      </c>
      <c r="C962" s="42" t="s">
        <v>79</v>
      </c>
      <c r="D962" s="60"/>
    </row>
    <row r="963">
      <c r="A963" s="74" t="s">
        <v>1216</v>
      </c>
      <c r="B963" s="73" t="s">
        <v>234</v>
      </c>
      <c r="C963" s="42" t="s">
        <v>79</v>
      </c>
      <c r="D963" s="60"/>
    </row>
    <row r="964">
      <c r="A964" s="74" t="s">
        <v>1217</v>
      </c>
      <c r="B964" s="73" t="s">
        <v>234</v>
      </c>
      <c r="C964" s="42" t="s">
        <v>79</v>
      </c>
      <c r="D964" s="60"/>
    </row>
    <row r="965">
      <c r="A965" s="74" t="s">
        <v>1218</v>
      </c>
      <c r="B965" s="73" t="s">
        <v>234</v>
      </c>
      <c r="C965" s="42" t="s">
        <v>79</v>
      </c>
      <c r="D965" s="60"/>
    </row>
    <row r="966">
      <c r="A966" s="74" t="s">
        <v>1219</v>
      </c>
      <c r="B966" s="73" t="s">
        <v>234</v>
      </c>
      <c r="C966" s="42" t="s">
        <v>79</v>
      </c>
      <c r="D966" s="60"/>
    </row>
    <row r="967">
      <c r="A967" s="92" t="s">
        <v>1220</v>
      </c>
      <c r="B967" s="93" t="s">
        <v>246</v>
      </c>
      <c r="C967" s="42" t="s">
        <v>79</v>
      </c>
      <c r="D967" s="60"/>
    </row>
    <row r="968">
      <c r="A968" s="92" t="s">
        <v>1220</v>
      </c>
      <c r="B968" s="93" t="s">
        <v>246</v>
      </c>
      <c r="C968" s="42" t="s">
        <v>79</v>
      </c>
      <c r="D968" s="60"/>
    </row>
    <row r="969">
      <c r="A969" s="92" t="s">
        <v>1221</v>
      </c>
      <c r="B969" s="93" t="s">
        <v>246</v>
      </c>
      <c r="C969" s="42" t="s">
        <v>79</v>
      </c>
      <c r="D969" s="60"/>
    </row>
    <row r="970">
      <c r="A970" s="92" t="s">
        <v>1222</v>
      </c>
      <c r="B970" s="93" t="s">
        <v>246</v>
      </c>
      <c r="C970" s="42" t="s">
        <v>79</v>
      </c>
      <c r="D970" s="60"/>
    </row>
    <row r="971">
      <c r="A971" s="92" t="s">
        <v>1223</v>
      </c>
      <c r="B971" s="93" t="s">
        <v>246</v>
      </c>
      <c r="C971" s="42" t="s">
        <v>79</v>
      </c>
      <c r="D971" s="60"/>
    </row>
    <row r="972">
      <c r="A972" s="92" t="s">
        <v>1224</v>
      </c>
      <c r="B972" s="93" t="s">
        <v>246</v>
      </c>
      <c r="C972" s="42" t="s">
        <v>79</v>
      </c>
      <c r="D972" s="60"/>
    </row>
    <row r="973">
      <c r="A973" s="74" t="s">
        <v>1225</v>
      </c>
      <c r="B973" s="73" t="s">
        <v>421</v>
      </c>
      <c r="C973" s="42" t="s">
        <v>79</v>
      </c>
      <c r="D973" s="60"/>
    </row>
    <row r="974">
      <c r="A974" s="74" t="s">
        <v>1226</v>
      </c>
      <c r="B974" s="73" t="s">
        <v>421</v>
      </c>
      <c r="C974" s="42" t="s">
        <v>79</v>
      </c>
      <c r="D974" s="60"/>
    </row>
    <row r="975">
      <c r="A975" s="74" t="s">
        <v>1227</v>
      </c>
      <c r="B975" s="73" t="s">
        <v>421</v>
      </c>
      <c r="C975" s="42" t="s">
        <v>79</v>
      </c>
      <c r="D975" s="60"/>
    </row>
    <row r="976">
      <c r="A976" s="74" t="s">
        <v>1228</v>
      </c>
      <c r="B976" s="73" t="s">
        <v>421</v>
      </c>
      <c r="C976" s="42" t="s">
        <v>79</v>
      </c>
      <c r="D976" s="60"/>
    </row>
    <row r="977">
      <c r="A977" s="74" t="s">
        <v>1229</v>
      </c>
      <c r="B977" s="73" t="s">
        <v>421</v>
      </c>
      <c r="C977" s="42" t="s">
        <v>79</v>
      </c>
      <c r="D977" s="60"/>
    </row>
    <row r="978">
      <c r="A978" s="74" t="s">
        <v>1230</v>
      </c>
      <c r="B978" s="73" t="s">
        <v>421</v>
      </c>
      <c r="C978" s="42" t="s">
        <v>79</v>
      </c>
      <c r="D978" s="60"/>
    </row>
    <row r="979">
      <c r="A979" s="74" t="s">
        <v>1231</v>
      </c>
      <c r="B979" s="73" t="s">
        <v>421</v>
      </c>
      <c r="C979" s="42" t="s">
        <v>79</v>
      </c>
      <c r="D979" s="60"/>
    </row>
    <row r="980">
      <c r="A980" s="74" t="s">
        <v>1232</v>
      </c>
      <c r="B980" s="73" t="s">
        <v>421</v>
      </c>
      <c r="C980" s="42" t="s">
        <v>79</v>
      </c>
      <c r="D980" s="60"/>
    </row>
    <row r="981">
      <c r="A981" s="74" t="s">
        <v>1233</v>
      </c>
      <c r="B981" s="73" t="s">
        <v>421</v>
      </c>
      <c r="C981" s="42" t="s">
        <v>79</v>
      </c>
      <c r="D981" s="60"/>
    </row>
    <row r="982">
      <c r="A982" s="74" t="s">
        <v>1234</v>
      </c>
      <c r="B982" s="73" t="s">
        <v>421</v>
      </c>
      <c r="C982" s="42" t="s">
        <v>79</v>
      </c>
      <c r="D982" s="60"/>
    </row>
    <row r="983">
      <c r="A983" s="74" t="s">
        <v>1235</v>
      </c>
      <c r="B983" s="73" t="s">
        <v>421</v>
      </c>
      <c r="C983" s="42" t="s">
        <v>79</v>
      </c>
      <c r="D983" s="60"/>
    </row>
    <row r="984">
      <c r="A984" s="74" t="s">
        <v>1236</v>
      </c>
      <c r="B984" s="73" t="s">
        <v>421</v>
      </c>
      <c r="C984" s="42" t="s">
        <v>79</v>
      </c>
      <c r="D984" s="60"/>
    </row>
    <row r="985">
      <c r="A985" s="74" t="s">
        <v>1237</v>
      </c>
      <c r="B985" s="73" t="s">
        <v>421</v>
      </c>
      <c r="C985" s="42" t="s">
        <v>79</v>
      </c>
      <c r="D985" s="60"/>
    </row>
    <row r="986">
      <c r="A986" s="74" t="s">
        <v>1238</v>
      </c>
      <c r="B986" s="73" t="s">
        <v>421</v>
      </c>
      <c r="C986" s="42" t="s">
        <v>79</v>
      </c>
      <c r="D986" s="60"/>
    </row>
    <row r="987">
      <c r="A987" s="74" t="s">
        <v>1239</v>
      </c>
      <c r="B987" s="73" t="s">
        <v>421</v>
      </c>
      <c r="C987" s="42" t="s">
        <v>79</v>
      </c>
      <c r="D987" s="60"/>
    </row>
    <row r="988">
      <c r="A988" s="74" t="s">
        <v>1240</v>
      </c>
      <c r="B988" s="73" t="s">
        <v>421</v>
      </c>
      <c r="C988" s="42" t="s">
        <v>79</v>
      </c>
      <c r="D988" s="60"/>
    </row>
    <row r="989">
      <c r="A989" s="74" t="s">
        <v>1241</v>
      </c>
      <c r="B989" s="73" t="s">
        <v>421</v>
      </c>
      <c r="C989" s="42" t="s">
        <v>79</v>
      </c>
      <c r="D989" s="60"/>
    </row>
    <row r="990">
      <c r="A990" s="74" t="s">
        <v>1242</v>
      </c>
      <c r="B990" s="73" t="s">
        <v>421</v>
      </c>
      <c r="C990" s="42" t="s">
        <v>79</v>
      </c>
      <c r="D990" s="60"/>
    </row>
    <row r="991">
      <c r="A991" s="74" t="s">
        <v>1243</v>
      </c>
      <c r="B991" s="73" t="s">
        <v>421</v>
      </c>
      <c r="C991" s="42" t="s">
        <v>79</v>
      </c>
      <c r="D991" s="60"/>
    </row>
    <row r="992">
      <c r="A992" s="74" t="s">
        <v>1244</v>
      </c>
      <c r="B992" s="73" t="s">
        <v>421</v>
      </c>
      <c r="C992" s="42" t="s">
        <v>79</v>
      </c>
      <c r="D992" s="60"/>
    </row>
    <row r="993">
      <c r="A993" s="92" t="s">
        <v>1245</v>
      </c>
      <c r="B993" s="93" t="s">
        <v>317</v>
      </c>
      <c r="C993" s="42" t="s">
        <v>79</v>
      </c>
      <c r="D993" s="60"/>
    </row>
    <row r="994">
      <c r="A994" s="92" t="s">
        <v>1246</v>
      </c>
      <c r="B994" s="93" t="s">
        <v>317</v>
      </c>
      <c r="C994" s="42" t="s">
        <v>79</v>
      </c>
      <c r="D994" s="60"/>
    </row>
    <row r="995">
      <c r="A995" s="92" t="s">
        <v>1247</v>
      </c>
      <c r="B995" s="93" t="s">
        <v>317</v>
      </c>
      <c r="C995" s="42" t="s">
        <v>79</v>
      </c>
      <c r="D995" s="60"/>
    </row>
    <row r="996">
      <c r="A996" s="92" t="s">
        <v>1248</v>
      </c>
      <c r="B996" s="93" t="s">
        <v>317</v>
      </c>
      <c r="C996" s="42" t="s">
        <v>79</v>
      </c>
      <c r="D996" s="60"/>
    </row>
    <row r="997">
      <c r="A997" s="92" t="s">
        <v>1249</v>
      </c>
      <c r="B997" s="93" t="s">
        <v>317</v>
      </c>
      <c r="C997" s="42" t="s">
        <v>79</v>
      </c>
      <c r="D997" s="60"/>
    </row>
    <row r="998">
      <c r="A998" s="92" t="s">
        <v>1250</v>
      </c>
      <c r="B998" s="93" t="s">
        <v>317</v>
      </c>
      <c r="C998" s="42" t="s">
        <v>79</v>
      </c>
      <c r="D998" s="60"/>
    </row>
    <row r="999">
      <c r="A999" s="92" t="s">
        <v>1251</v>
      </c>
      <c r="B999" s="93" t="s">
        <v>317</v>
      </c>
      <c r="C999" s="42" t="s">
        <v>79</v>
      </c>
      <c r="D999" s="60"/>
    </row>
    <row r="1000">
      <c r="A1000" s="92" t="s">
        <v>1252</v>
      </c>
      <c r="B1000" s="93" t="s">
        <v>317</v>
      </c>
      <c r="C1000" s="42" t="s">
        <v>79</v>
      </c>
      <c r="D1000" s="60"/>
    </row>
    <row r="1001">
      <c r="A1001" s="74" t="s">
        <v>1253</v>
      </c>
      <c r="B1001" s="73" t="s">
        <v>430</v>
      </c>
      <c r="C1001" s="42" t="s">
        <v>79</v>
      </c>
      <c r="D1001" s="60"/>
    </row>
    <row r="1002">
      <c r="A1002" s="74" t="s">
        <v>1254</v>
      </c>
      <c r="B1002" s="73" t="s">
        <v>430</v>
      </c>
      <c r="C1002" s="42" t="s">
        <v>79</v>
      </c>
      <c r="D1002" s="60"/>
    </row>
    <row r="1003">
      <c r="A1003" s="74" t="s">
        <v>1255</v>
      </c>
      <c r="B1003" s="73" t="s">
        <v>430</v>
      </c>
      <c r="C1003" s="42" t="s">
        <v>79</v>
      </c>
      <c r="D1003" s="60"/>
    </row>
    <row r="1004">
      <c r="A1004" s="74" t="s">
        <v>1256</v>
      </c>
      <c r="B1004" s="73" t="s">
        <v>430</v>
      </c>
      <c r="C1004" s="42" t="s">
        <v>79</v>
      </c>
      <c r="D1004" s="60"/>
    </row>
    <row r="1005">
      <c r="A1005" s="74" t="s">
        <v>1257</v>
      </c>
      <c r="B1005" s="73" t="s">
        <v>430</v>
      </c>
      <c r="C1005" s="42" t="s">
        <v>79</v>
      </c>
      <c r="D1005" s="60"/>
    </row>
    <row r="1006">
      <c r="A1006" s="74" t="s">
        <v>1258</v>
      </c>
      <c r="B1006" s="73" t="s">
        <v>430</v>
      </c>
      <c r="C1006" s="42" t="s">
        <v>79</v>
      </c>
      <c r="D1006" s="60"/>
    </row>
    <row r="1007">
      <c r="A1007" s="74" t="s">
        <v>1259</v>
      </c>
      <c r="B1007" s="73" t="s">
        <v>430</v>
      </c>
      <c r="C1007" s="42" t="s">
        <v>79</v>
      </c>
      <c r="D1007" s="60"/>
    </row>
    <row r="1008">
      <c r="A1008" s="74" t="s">
        <v>1260</v>
      </c>
      <c r="B1008" s="73" t="s">
        <v>430</v>
      </c>
      <c r="C1008" s="42" t="s">
        <v>79</v>
      </c>
      <c r="D1008" s="60"/>
    </row>
    <row r="1009">
      <c r="A1009" s="74" t="s">
        <v>1260</v>
      </c>
      <c r="B1009" s="73" t="s">
        <v>430</v>
      </c>
      <c r="C1009" s="42" t="s">
        <v>79</v>
      </c>
      <c r="D1009" s="60"/>
    </row>
    <row r="1010">
      <c r="A1010" s="74" t="s">
        <v>1261</v>
      </c>
      <c r="B1010" s="73" t="s">
        <v>430</v>
      </c>
      <c r="C1010" s="42" t="s">
        <v>79</v>
      </c>
      <c r="D1010" s="60"/>
    </row>
    <row r="1011">
      <c r="A1011" s="74" t="s">
        <v>1262</v>
      </c>
      <c r="B1011" s="73" t="s">
        <v>430</v>
      </c>
      <c r="C1011" s="42" t="s">
        <v>79</v>
      </c>
      <c r="D1011" s="60"/>
    </row>
    <row r="1012">
      <c r="A1012" s="92" t="s">
        <v>1263</v>
      </c>
      <c r="B1012" s="93" t="s">
        <v>449</v>
      </c>
      <c r="C1012" s="42" t="s">
        <v>79</v>
      </c>
      <c r="D1012" s="60"/>
    </row>
    <row r="1013">
      <c r="A1013" s="92" t="s">
        <v>1264</v>
      </c>
      <c r="B1013" s="93" t="s">
        <v>449</v>
      </c>
      <c r="C1013" s="42" t="s">
        <v>79</v>
      </c>
      <c r="D1013" s="60"/>
    </row>
    <row r="1014">
      <c r="A1014" s="92" t="s">
        <v>1265</v>
      </c>
      <c r="B1014" s="93" t="s">
        <v>449</v>
      </c>
      <c r="C1014" s="42" t="s">
        <v>79</v>
      </c>
      <c r="D1014" s="60"/>
    </row>
    <row r="1015">
      <c r="A1015" s="92" t="s">
        <v>1266</v>
      </c>
      <c r="B1015" s="93" t="s">
        <v>449</v>
      </c>
      <c r="C1015" s="42" t="s">
        <v>79</v>
      </c>
      <c r="D1015" s="60"/>
    </row>
    <row r="1016">
      <c r="A1016" s="92" t="s">
        <v>1267</v>
      </c>
      <c r="B1016" s="93" t="s">
        <v>449</v>
      </c>
      <c r="C1016" s="42" t="s">
        <v>79</v>
      </c>
      <c r="D1016" s="60"/>
    </row>
    <row r="1017">
      <c r="A1017" s="92" t="s">
        <v>1268</v>
      </c>
      <c r="B1017" s="93" t="s">
        <v>449</v>
      </c>
      <c r="C1017" s="42" t="s">
        <v>79</v>
      </c>
      <c r="D1017" s="60"/>
    </row>
    <row r="1018">
      <c r="A1018" s="92" t="s">
        <v>1269</v>
      </c>
      <c r="B1018" s="93" t="s">
        <v>449</v>
      </c>
      <c r="C1018" s="42" t="s">
        <v>79</v>
      </c>
      <c r="D1018" s="60"/>
    </row>
    <row r="1019">
      <c r="A1019" s="92" t="s">
        <v>1270</v>
      </c>
      <c r="B1019" s="93" t="s">
        <v>449</v>
      </c>
      <c r="C1019" s="42" t="s">
        <v>79</v>
      </c>
      <c r="D1019" s="60"/>
    </row>
    <row r="1020">
      <c r="A1020" s="92" t="s">
        <v>1272</v>
      </c>
      <c r="B1020" s="93" t="s">
        <v>449</v>
      </c>
      <c r="C1020" s="42" t="s">
        <v>79</v>
      </c>
      <c r="D1020" s="60"/>
    </row>
    <row r="1021">
      <c r="A1021" s="92" t="s">
        <v>1273</v>
      </c>
      <c r="B1021" s="93" t="s">
        <v>449</v>
      </c>
      <c r="C1021" s="42" t="s">
        <v>79</v>
      </c>
      <c r="D1021" s="60"/>
    </row>
    <row r="1022">
      <c r="A1022" s="92" t="s">
        <v>1274</v>
      </c>
      <c r="B1022" s="93" t="s">
        <v>449</v>
      </c>
      <c r="C1022" s="42" t="s">
        <v>79</v>
      </c>
      <c r="D1022" s="60"/>
    </row>
    <row r="1023">
      <c r="A1023" s="92" t="s">
        <v>1275</v>
      </c>
      <c r="B1023" s="93" t="s">
        <v>449</v>
      </c>
      <c r="C1023" s="42" t="s">
        <v>79</v>
      </c>
      <c r="D1023" s="60"/>
    </row>
    <row r="1024">
      <c r="A1024" s="92" t="s">
        <v>1276</v>
      </c>
      <c r="B1024" s="93" t="s">
        <v>449</v>
      </c>
      <c r="C1024" s="42" t="s">
        <v>79</v>
      </c>
      <c r="D1024" s="60"/>
    </row>
    <row r="1025">
      <c r="A1025" s="92" t="s">
        <v>1278</v>
      </c>
      <c r="B1025" s="93" t="s">
        <v>449</v>
      </c>
      <c r="C1025" s="42" t="s">
        <v>79</v>
      </c>
      <c r="D1025" s="60"/>
    </row>
    <row r="1026">
      <c r="A1026" s="92" t="s">
        <v>1279</v>
      </c>
      <c r="B1026" s="93" t="s">
        <v>449</v>
      </c>
      <c r="C1026" s="42" t="s">
        <v>79</v>
      </c>
      <c r="D1026" s="60"/>
    </row>
    <row r="1027">
      <c r="A1027" s="92" t="s">
        <v>1280</v>
      </c>
      <c r="B1027" s="93" t="s">
        <v>449</v>
      </c>
      <c r="C1027" s="42" t="s">
        <v>79</v>
      </c>
      <c r="D1027" s="60"/>
    </row>
  </sheetData>
  <mergeCells count="13">
    <mergeCell ref="F5:G5"/>
    <mergeCell ref="F6:G6"/>
    <mergeCell ref="A7:B7"/>
    <mergeCell ref="F7:G7"/>
    <mergeCell ref="A8:B8"/>
    <mergeCell ref="F8:G8"/>
    <mergeCell ref="B1:G1"/>
    <mergeCell ref="A2:H2"/>
    <mergeCell ref="A3:D3"/>
    <mergeCell ref="A4:D4"/>
    <mergeCell ref="F4:H4"/>
    <mergeCell ref="A5:B5"/>
    <mergeCell ref="A6:B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25.13"/>
    <col customWidth="1" min="3" max="6" width="15.13"/>
  </cols>
  <sheetData>
    <row r="1" ht="75.0" customHeight="1">
      <c r="A1" s="4" t="s">
        <v>74</v>
      </c>
      <c r="B1" s="3" t="s">
        <v>842</v>
      </c>
      <c r="F1" s="9">
        <f>SUM(C7:F7) / 100</f>
        <v>0.2</v>
      </c>
      <c r="G1" s="20"/>
    </row>
    <row r="2">
      <c r="A2" s="10" t="s">
        <v>861</v>
      </c>
      <c r="G2" s="10"/>
    </row>
    <row r="3">
      <c r="A3" s="12"/>
    </row>
    <row r="4">
      <c r="A4" s="14" t="s">
        <v>861</v>
      </c>
      <c r="B4" s="6"/>
      <c r="C4" s="6"/>
      <c r="D4" s="8"/>
      <c r="E4" s="86"/>
      <c r="F4" s="86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>
      <c r="A5" s="16" t="s">
        <v>11</v>
      </c>
      <c r="B5" s="8"/>
      <c r="C5" s="17">
        <v>100.0</v>
      </c>
      <c r="D5" s="17">
        <v>100.0</v>
      </c>
      <c r="E5" s="17">
        <v>100.0</v>
      </c>
      <c r="F5" s="17">
        <v>100.0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>
      <c r="A6" s="16" t="s">
        <v>13</v>
      </c>
      <c r="B6" s="8"/>
      <c r="C6" s="17">
        <f t="shared" ref="C6:F6" si="1">COUNTA(C10:C1001)</f>
        <v>100</v>
      </c>
      <c r="D6" s="17">
        <f t="shared" si="1"/>
        <v>0</v>
      </c>
      <c r="E6" s="17">
        <f t="shared" si="1"/>
        <v>0</v>
      </c>
      <c r="F6" s="17">
        <f t="shared" si="1"/>
        <v>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>
      <c r="A7" s="16" t="s">
        <v>17</v>
      </c>
      <c r="B7" s="8"/>
      <c r="C7" s="48">
        <f t="shared" ref="C7:F7" si="2">(C6 * C8) / C5</f>
        <v>20</v>
      </c>
      <c r="D7" s="48">
        <f t="shared" si="2"/>
        <v>0</v>
      </c>
      <c r="E7" s="48">
        <f t="shared" si="2"/>
        <v>0</v>
      </c>
      <c r="F7" s="48">
        <f t="shared" si="2"/>
        <v>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>
      <c r="A8" s="36" t="s">
        <v>24</v>
      </c>
      <c r="B8" s="8"/>
      <c r="C8" s="38">
        <v>20.0</v>
      </c>
      <c r="D8" s="38">
        <v>50.0</v>
      </c>
      <c r="E8" s="38">
        <v>15.0</v>
      </c>
      <c r="F8" s="38">
        <v>15.0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ht="59.25" customHeight="1">
      <c r="A9" s="39" t="s">
        <v>26</v>
      </c>
      <c r="B9" s="39" t="s">
        <v>27</v>
      </c>
      <c r="C9" s="40" t="s">
        <v>914</v>
      </c>
      <c r="D9" s="40" t="s">
        <v>916</v>
      </c>
      <c r="E9" s="40" t="s">
        <v>917</v>
      </c>
      <c r="F9" s="40" t="s">
        <v>919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>
      <c r="A10" s="41" t="s">
        <v>30</v>
      </c>
      <c r="B10" s="41"/>
      <c r="C10" s="91">
        <v>45748.0</v>
      </c>
      <c r="D10" s="42"/>
      <c r="E10" s="41"/>
      <c r="F10" s="41"/>
    </row>
    <row r="11">
      <c r="A11" s="41" t="s">
        <v>31</v>
      </c>
      <c r="B11" s="41"/>
      <c r="C11" s="91">
        <v>45749.0</v>
      </c>
      <c r="D11" s="42"/>
      <c r="E11" s="41"/>
      <c r="F11" s="41"/>
    </row>
    <row r="12">
      <c r="A12" s="41" t="s">
        <v>32</v>
      </c>
      <c r="B12" s="41"/>
      <c r="C12" s="91">
        <v>45750.0</v>
      </c>
      <c r="D12" s="42"/>
      <c r="E12" s="41"/>
      <c r="F12" s="41"/>
    </row>
    <row r="13">
      <c r="A13" s="41" t="s">
        <v>33</v>
      </c>
      <c r="B13" s="41"/>
      <c r="C13" s="91">
        <v>45751.0</v>
      </c>
      <c r="D13" s="42"/>
      <c r="E13" s="41"/>
      <c r="F13" s="41"/>
    </row>
    <row r="14">
      <c r="A14" s="41" t="s">
        <v>34</v>
      </c>
      <c r="B14" s="41"/>
      <c r="C14" s="91">
        <v>45752.0</v>
      </c>
      <c r="D14" s="42"/>
      <c r="E14" s="41"/>
      <c r="F14" s="41"/>
    </row>
    <row r="15">
      <c r="A15" s="41" t="s">
        <v>35</v>
      </c>
      <c r="B15" s="41"/>
      <c r="C15" s="91">
        <v>45753.0</v>
      </c>
      <c r="D15" s="42"/>
      <c r="E15" s="41"/>
      <c r="F15" s="41"/>
    </row>
    <row r="16">
      <c r="A16" s="41" t="s">
        <v>36</v>
      </c>
      <c r="B16" s="41"/>
      <c r="C16" s="91">
        <v>45754.0</v>
      </c>
      <c r="D16" s="42"/>
      <c r="E16" s="41"/>
      <c r="F16" s="41"/>
    </row>
    <row r="17">
      <c r="A17" s="41" t="s">
        <v>37</v>
      </c>
      <c r="B17" s="41"/>
      <c r="C17" s="91">
        <v>45755.0</v>
      </c>
      <c r="D17" s="42"/>
      <c r="E17" s="41"/>
      <c r="F17" s="41"/>
    </row>
    <row r="18">
      <c r="A18" s="41" t="s">
        <v>38</v>
      </c>
      <c r="B18" s="41"/>
      <c r="C18" s="91">
        <v>45756.0</v>
      </c>
      <c r="D18" s="42"/>
      <c r="E18" s="41"/>
      <c r="F18" s="41"/>
    </row>
    <row r="19">
      <c r="A19" s="41" t="s">
        <v>39</v>
      </c>
      <c r="B19" s="41"/>
      <c r="C19" s="91">
        <v>45757.0</v>
      </c>
      <c r="D19" s="42"/>
      <c r="E19" s="41"/>
      <c r="F19" s="41"/>
    </row>
    <row r="20">
      <c r="A20" s="41" t="s">
        <v>40</v>
      </c>
      <c r="B20" s="41"/>
      <c r="C20" s="91">
        <v>45758.0</v>
      </c>
      <c r="D20" s="45"/>
      <c r="E20" s="46"/>
      <c r="F20" s="46"/>
    </row>
    <row r="21">
      <c r="A21" s="41" t="s">
        <v>41</v>
      </c>
      <c r="B21" s="41"/>
      <c r="C21" s="91">
        <v>45759.0</v>
      </c>
      <c r="D21" s="45"/>
      <c r="E21" s="46"/>
      <c r="F21" s="46"/>
    </row>
    <row r="22">
      <c r="A22" s="41" t="s">
        <v>42</v>
      </c>
      <c r="B22" s="41"/>
      <c r="C22" s="91">
        <v>45760.0</v>
      </c>
      <c r="D22" s="45"/>
      <c r="E22" s="46"/>
      <c r="F22" s="46"/>
    </row>
    <row r="23">
      <c r="A23" s="41" t="s">
        <v>43</v>
      </c>
      <c r="B23" s="41"/>
      <c r="C23" s="91">
        <v>45761.0</v>
      </c>
      <c r="D23" s="45"/>
      <c r="E23" s="46"/>
      <c r="F23" s="46"/>
    </row>
    <row r="24">
      <c r="A24" s="41" t="s">
        <v>44</v>
      </c>
      <c r="B24" s="41"/>
      <c r="C24" s="91">
        <v>45762.0</v>
      </c>
      <c r="D24" s="45"/>
      <c r="E24" s="46"/>
      <c r="F24" s="46"/>
    </row>
    <row r="25">
      <c r="A25" s="41" t="s">
        <v>45</v>
      </c>
      <c r="B25" s="41"/>
      <c r="C25" s="91">
        <v>45763.0</v>
      </c>
      <c r="D25" s="45"/>
      <c r="E25" s="46"/>
      <c r="F25" s="46"/>
    </row>
    <row r="26">
      <c r="A26" s="41" t="s">
        <v>46</v>
      </c>
      <c r="B26" s="41"/>
      <c r="C26" s="91">
        <v>45764.0</v>
      </c>
      <c r="D26" s="45"/>
      <c r="E26" s="46"/>
      <c r="F26" s="46"/>
    </row>
    <row r="27">
      <c r="A27" s="41" t="s">
        <v>47</v>
      </c>
      <c r="B27" s="41"/>
      <c r="C27" s="91">
        <v>45765.0</v>
      </c>
      <c r="D27" s="45"/>
      <c r="E27" s="46"/>
      <c r="F27" s="46"/>
    </row>
    <row r="28">
      <c r="A28" s="41" t="s">
        <v>48</v>
      </c>
      <c r="B28" s="41"/>
      <c r="C28" s="91">
        <v>45766.0</v>
      </c>
      <c r="D28" s="45"/>
      <c r="E28" s="46"/>
      <c r="F28" s="46"/>
    </row>
    <row r="29">
      <c r="A29" s="41" t="s">
        <v>49</v>
      </c>
      <c r="B29" s="41"/>
      <c r="C29" s="91">
        <v>45767.0</v>
      </c>
      <c r="D29" s="45"/>
      <c r="E29" s="46"/>
      <c r="F29" s="46"/>
    </row>
    <row r="30">
      <c r="A30" s="41" t="s">
        <v>50</v>
      </c>
      <c r="B30" s="41"/>
      <c r="C30" s="91">
        <v>45768.0</v>
      </c>
      <c r="D30" s="45"/>
      <c r="E30" s="46"/>
      <c r="F30" s="46"/>
    </row>
    <row r="31">
      <c r="A31" s="41" t="s">
        <v>51</v>
      </c>
      <c r="B31" s="41"/>
      <c r="C31" s="91">
        <v>45769.0</v>
      </c>
      <c r="D31" s="45"/>
      <c r="E31" s="46"/>
      <c r="F31" s="46"/>
    </row>
    <row r="32">
      <c r="A32" s="41" t="s">
        <v>52</v>
      </c>
      <c r="B32" s="41"/>
      <c r="C32" s="91">
        <v>45770.0</v>
      </c>
      <c r="D32" s="45"/>
      <c r="E32" s="46"/>
      <c r="F32" s="46"/>
    </row>
    <row r="33">
      <c r="A33" s="41" t="s">
        <v>53</v>
      </c>
      <c r="B33" s="41"/>
      <c r="C33" s="91">
        <v>45771.0</v>
      </c>
      <c r="D33" s="45"/>
      <c r="E33" s="46"/>
      <c r="F33" s="46"/>
    </row>
    <row r="34">
      <c r="A34" s="41" t="s">
        <v>54</v>
      </c>
      <c r="B34" s="41"/>
      <c r="C34" s="91">
        <v>45772.0</v>
      </c>
      <c r="D34" s="45"/>
      <c r="E34" s="46"/>
      <c r="F34" s="46"/>
    </row>
    <row r="35">
      <c r="A35" s="41" t="s">
        <v>55</v>
      </c>
      <c r="B35" s="41"/>
      <c r="C35" s="91">
        <v>45773.0</v>
      </c>
      <c r="D35" s="45"/>
      <c r="E35" s="46"/>
      <c r="F35" s="46"/>
    </row>
    <row r="36">
      <c r="A36" s="41" t="s">
        <v>56</v>
      </c>
      <c r="B36" s="41"/>
      <c r="C36" s="91">
        <v>45774.0</v>
      </c>
      <c r="D36" s="45"/>
      <c r="E36" s="46"/>
      <c r="F36" s="46"/>
    </row>
    <row r="37">
      <c r="A37" s="41" t="s">
        <v>57</v>
      </c>
      <c r="B37" s="41"/>
      <c r="C37" s="91">
        <v>45775.0</v>
      </c>
      <c r="D37" s="45"/>
      <c r="E37" s="46"/>
      <c r="F37" s="46"/>
    </row>
    <row r="38">
      <c r="A38" s="41" t="s">
        <v>58</v>
      </c>
      <c r="B38" s="41"/>
      <c r="C38" s="91">
        <v>45776.0</v>
      </c>
      <c r="D38" s="45"/>
      <c r="E38" s="46"/>
      <c r="F38" s="46"/>
    </row>
    <row r="39">
      <c r="A39" s="41" t="s">
        <v>60</v>
      </c>
      <c r="B39" s="41"/>
      <c r="C39" s="91">
        <v>45777.0</v>
      </c>
      <c r="D39" s="45"/>
      <c r="E39" s="46"/>
      <c r="F39" s="46"/>
    </row>
    <row r="40">
      <c r="A40" s="41" t="s">
        <v>62</v>
      </c>
      <c r="B40" s="41"/>
      <c r="C40" s="91">
        <v>45778.0</v>
      </c>
      <c r="D40" s="45"/>
      <c r="E40" s="46"/>
      <c r="F40" s="46"/>
    </row>
    <row r="41">
      <c r="A41" s="41" t="s">
        <v>63</v>
      </c>
      <c r="B41" s="41"/>
      <c r="C41" s="91">
        <v>45779.0</v>
      </c>
      <c r="D41" s="45"/>
      <c r="E41" s="46"/>
      <c r="F41" s="46"/>
    </row>
    <row r="42">
      <c r="A42" s="41" t="s">
        <v>65</v>
      </c>
      <c r="B42" s="41"/>
      <c r="C42" s="91">
        <v>45780.0</v>
      </c>
      <c r="D42" s="45"/>
      <c r="E42" s="46"/>
      <c r="F42" s="46"/>
    </row>
    <row r="43">
      <c r="A43" s="41" t="s">
        <v>67</v>
      </c>
      <c r="B43" s="41"/>
      <c r="C43" s="91">
        <v>45781.0</v>
      </c>
      <c r="D43" s="45"/>
      <c r="E43" s="46"/>
      <c r="F43" s="46"/>
    </row>
    <row r="44">
      <c r="A44" s="41" t="s">
        <v>68</v>
      </c>
      <c r="B44" s="41"/>
      <c r="C44" s="91">
        <v>45782.0</v>
      </c>
      <c r="D44" s="45"/>
      <c r="E44" s="46"/>
      <c r="F44" s="46"/>
    </row>
    <row r="45">
      <c r="A45" s="41" t="s">
        <v>69</v>
      </c>
      <c r="B45" s="41"/>
      <c r="C45" s="91">
        <v>45783.0</v>
      </c>
      <c r="D45" s="45"/>
      <c r="E45" s="46"/>
      <c r="F45" s="46"/>
    </row>
    <row r="46">
      <c r="A46" s="41" t="s">
        <v>71</v>
      </c>
      <c r="B46" s="41"/>
      <c r="C46" s="91">
        <v>45784.0</v>
      </c>
      <c r="D46" s="45"/>
      <c r="E46" s="46"/>
      <c r="F46" s="46"/>
    </row>
    <row r="47">
      <c r="A47" s="41" t="s">
        <v>72</v>
      </c>
      <c r="B47" s="41"/>
      <c r="C47" s="91">
        <v>45785.0</v>
      </c>
      <c r="D47" s="45"/>
      <c r="E47" s="46"/>
      <c r="F47" s="46"/>
    </row>
    <row r="48">
      <c r="A48" s="41" t="s">
        <v>77</v>
      </c>
      <c r="B48" s="41"/>
      <c r="C48" s="91">
        <v>45786.0</v>
      </c>
      <c r="D48" s="45"/>
      <c r="E48" s="46"/>
      <c r="F48" s="46"/>
    </row>
    <row r="49">
      <c r="A49" s="41" t="s">
        <v>78</v>
      </c>
      <c r="B49" s="41"/>
      <c r="C49" s="91">
        <v>45787.0</v>
      </c>
      <c r="D49" s="45"/>
      <c r="E49" s="46"/>
      <c r="F49" s="46"/>
    </row>
    <row r="50">
      <c r="A50" s="41" t="s">
        <v>80</v>
      </c>
      <c r="B50" s="41"/>
      <c r="C50" s="91">
        <v>45788.0</v>
      </c>
      <c r="D50" s="45"/>
      <c r="E50" s="46"/>
      <c r="F50" s="46"/>
    </row>
    <row r="51">
      <c r="A51" s="41" t="s">
        <v>84</v>
      </c>
      <c r="B51" s="41"/>
      <c r="C51" s="91">
        <v>45789.0</v>
      </c>
      <c r="D51" s="45"/>
      <c r="E51" s="46"/>
      <c r="F51" s="46"/>
    </row>
    <row r="52">
      <c r="A52" s="41" t="s">
        <v>86</v>
      </c>
      <c r="B52" s="41"/>
      <c r="C52" s="91">
        <v>45790.0</v>
      </c>
      <c r="D52" s="45"/>
      <c r="E52" s="46"/>
      <c r="F52" s="46"/>
    </row>
    <row r="53">
      <c r="A53" s="41" t="s">
        <v>90</v>
      </c>
      <c r="B53" s="41"/>
      <c r="C53" s="91">
        <v>45791.0</v>
      </c>
      <c r="D53" s="45"/>
      <c r="E53" s="46"/>
      <c r="F53" s="46"/>
    </row>
    <row r="54">
      <c r="A54" s="41" t="s">
        <v>93</v>
      </c>
      <c r="B54" s="41"/>
      <c r="C54" s="91">
        <v>45792.0</v>
      </c>
      <c r="D54" s="45"/>
      <c r="E54" s="46"/>
      <c r="F54" s="46"/>
    </row>
    <row r="55">
      <c r="A55" s="41" t="s">
        <v>95</v>
      </c>
      <c r="B55" s="41"/>
      <c r="C55" s="91">
        <v>45793.0</v>
      </c>
      <c r="D55" s="45"/>
      <c r="E55" s="46"/>
      <c r="F55" s="46"/>
    </row>
    <row r="56">
      <c r="A56" s="41" t="s">
        <v>97</v>
      </c>
      <c r="B56" s="41"/>
      <c r="C56" s="91">
        <v>45794.0</v>
      </c>
      <c r="D56" s="45"/>
      <c r="E56" s="46"/>
      <c r="F56" s="46"/>
    </row>
    <row r="57">
      <c r="A57" s="41" t="s">
        <v>101</v>
      </c>
      <c r="B57" s="41"/>
      <c r="C57" s="91">
        <v>45795.0</v>
      </c>
      <c r="D57" s="45"/>
      <c r="E57" s="46"/>
      <c r="F57" s="46"/>
    </row>
    <row r="58">
      <c r="A58" s="41" t="s">
        <v>103</v>
      </c>
      <c r="B58" s="41"/>
      <c r="C58" s="91">
        <v>45796.0</v>
      </c>
      <c r="D58" s="45"/>
      <c r="E58" s="46"/>
      <c r="F58" s="46"/>
    </row>
    <row r="59">
      <c r="A59" s="41" t="s">
        <v>106</v>
      </c>
      <c r="B59" s="41"/>
      <c r="C59" s="91">
        <v>45797.0</v>
      </c>
      <c r="D59" s="45"/>
      <c r="E59" s="46"/>
      <c r="F59" s="46"/>
    </row>
    <row r="60">
      <c r="A60" s="41" t="s">
        <v>1005</v>
      </c>
      <c r="B60" s="41"/>
      <c r="C60" s="91">
        <v>45798.0</v>
      </c>
      <c r="D60" s="45"/>
      <c r="E60" s="46"/>
      <c r="F60" s="46"/>
    </row>
    <row r="61">
      <c r="A61" s="41" t="s">
        <v>1007</v>
      </c>
      <c r="B61" s="41"/>
      <c r="C61" s="91">
        <v>45799.0</v>
      </c>
      <c r="D61" s="45"/>
      <c r="E61" s="46"/>
      <c r="F61" s="46"/>
    </row>
    <row r="62">
      <c r="A62" s="41" t="s">
        <v>1009</v>
      </c>
      <c r="B62" s="41"/>
      <c r="C62" s="91">
        <v>45800.0</v>
      </c>
      <c r="D62" s="45"/>
      <c r="E62" s="46"/>
      <c r="F62" s="46"/>
    </row>
    <row r="63">
      <c r="A63" s="41" t="s">
        <v>1011</v>
      </c>
      <c r="B63" s="41"/>
      <c r="C63" s="91">
        <v>45801.0</v>
      </c>
      <c r="D63" s="45"/>
      <c r="E63" s="46"/>
      <c r="F63" s="46"/>
    </row>
    <row r="64">
      <c r="A64" s="41" t="s">
        <v>1013</v>
      </c>
      <c r="B64" s="41"/>
      <c r="C64" s="91">
        <v>45802.0</v>
      </c>
      <c r="D64" s="45"/>
      <c r="E64" s="46"/>
      <c r="F64" s="46"/>
    </row>
    <row r="65">
      <c r="A65" s="41" t="s">
        <v>1015</v>
      </c>
      <c r="B65" s="41"/>
      <c r="C65" s="91">
        <v>45803.0</v>
      </c>
      <c r="D65" s="45"/>
      <c r="E65" s="46"/>
      <c r="F65" s="46"/>
    </row>
    <row r="66">
      <c r="A66" s="41" t="s">
        <v>1017</v>
      </c>
      <c r="B66" s="41"/>
      <c r="C66" s="91">
        <v>45804.0</v>
      </c>
      <c r="D66" s="45"/>
      <c r="E66" s="46"/>
      <c r="F66" s="46"/>
    </row>
    <row r="67">
      <c r="A67" s="41" t="s">
        <v>1019</v>
      </c>
      <c r="B67" s="41"/>
      <c r="C67" s="91">
        <v>45805.0</v>
      </c>
      <c r="D67" s="45"/>
      <c r="E67" s="46"/>
      <c r="F67" s="46"/>
    </row>
    <row r="68">
      <c r="A68" s="41" t="s">
        <v>1021</v>
      </c>
      <c r="B68" s="41"/>
      <c r="C68" s="91">
        <v>45806.0</v>
      </c>
      <c r="D68" s="45"/>
      <c r="E68" s="46"/>
      <c r="F68" s="46"/>
    </row>
    <row r="69">
      <c r="A69" s="41" t="s">
        <v>1023</v>
      </c>
      <c r="B69" s="41"/>
      <c r="C69" s="91">
        <v>45807.0</v>
      </c>
      <c r="D69" s="45"/>
      <c r="E69" s="46"/>
      <c r="F69" s="46"/>
    </row>
    <row r="70">
      <c r="A70" s="41" t="s">
        <v>1025</v>
      </c>
      <c r="B70" s="41"/>
      <c r="C70" s="91">
        <v>45808.0</v>
      </c>
      <c r="D70" s="45"/>
      <c r="E70" s="46"/>
      <c r="F70" s="46"/>
    </row>
    <row r="71">
      <c r="A71" s="41" t="s">
        <v>1027</v>
      </c>
      <c r="B71" s="41"/>
      <c r="C71" s="91">
        <v>45809.0</v>
      </c>
      <c r="D71" s="45"/>
      <c r="E71" s="46"/>
      <c r="F71" s="46"/>
    </row>
    <row r="72">
      <c r="A72" s="41" t="s">
        <v>1029</v>
      </c>
      <c r="B72" s="41"/>
      <c r="C72" s="91">
        <v>45810.0</v>
      </c>
      <c r="D72" s="45"/>
      <c r="E72" s="46"/>
      <c r="F72" s="46"/>
    </row>
    <row r="73">
      <c r="A73" s="41" t="s">
        <v>1031</v>
      </c>
      <c r="B73" s="41"/>
      <c r="C73" s="91">
        <v>45811.0</v>
      </c>
      <c r="D73" s="45"/>
      <c r="E73" s="46"/>
      <c r="F73" s="46"/>
    </row>
    <row r="74">
      <c r="A74" s="41" t="s">
        <v>1034</v>
      </c>
      <c r="B74" s="41"/>
      <c r="C74" s="91">
        <v>45812.0</v>
      </c>
      <c r="D74" s="45"/>
      <c r="E74" s="46"/>
      <c r="F74" s="46"/>
    </row>
    <row r="75">
      <c r="A75" s="41" t="s">
        <v>1036</v>
      </c>
      <c r="B75" s="41"/>
      <c r="C75" s="91">
        <v>45813.0</v>
      </c>
      <c r="D75" s="45"/>
      <c r="E75" s="46"/>
      <c r="F75" s="46"/>
    </row>
    <row r="76">
      <c r="A76" s="41" t="s">
        <v>1038</v>
      </c>
      <c r="B76" s="41"/>
      <c r="C76" s="91">
        <v>45814.0</v>
      </c>
      <c r="D76" s="45"/>
      <c r="E76" s="46"/>
      <c r="F76" s="46"/>
    </row>
    <row r="77">
      <c r="A77" s="41" t="s">
        <v>1040</v>
      </c>
      <c r="B77" s="41"/>
      <c r="C77" s="91">
        <v>45815.0</v>
      </c>
      <c r="D77" s="45"/>
      <c r="E77" s="46"/>
      <c r="F77" s="46"/>
    </row>
    <row r="78">
      <c r="A78" s="41" t="s">
        <v>1042</v>
      </c>
      <c r="B78" s="41"/>
      <c r="C78" s="91">
        <v>45816.0</v>
      </c>
      <c r="D78" s="45"/>
      <c r="E78" s="46"/>
      <c r="F78" s="46"/>
    </row>
    <row r="79">
      <c r="A79" s="41" t="s">
        <v>1044</v>
      </c>
      <c r="B79" s="41"/>
      <c r="C79" s="91">
        <v>45817.0</v>
      </c>
      <c r="D79" s="45"/>
      <c r="E79" s="46"/>
      <c r="F79" s="46"/>
    </row>
    <row r="80">
      <c r="A80" s="41" t="s">
        <v>1045</v>
      </c>
      <c r="B80" s="41"/>
      <c r="C80" s="91">
        <v>45818.0</v>
      </c>
      <c r="D80" s="45"/>
      <c r="E80" s="46"/>
      <c r="F80" s="46"/>
    </row>
    <row r="81">
      <c r="A81" s="41" t="s">
        <v>1047</v>
      </c>
      <c r="B81" s="41"/>
      <c r="C81" s="91">
        <v>45819.0</v>
      </c>
      <c r="D81" s="45"/>
      <c r="E81" s="46"/>
      <c r="F81" s="46"/>
    </row>
    <row r="82">
      <c r="A82" s="41" t="s">
        <v>1049</v>
      </c>
      <c r="B82" s="41"/>
      <c r="C82" s="91">
        <v>45820.0</v>
      </c>
      <c r="D82" s="45"/>
      <c r="E82" s="46"/>
      <c r="F82" s="46"/>
    </row>
    <row r="83">
      <c r="A83" s="41" t="s">
        <v>1052</v>
      </c>
      <c r="B83" s="41"/>
      <c r="C83" s="91">
        <v>45821.0</v>
      </c>
      <c r="D83" s="45"/>
      <c r="E83" s="46"/>
      <c r="F83" s="46"/>
    </row>
    <row r="84">
      <c r="A84" s="41" t="s">
        <v>1054</v>
      </c>
      <c r="B84" s="41"/>
      <c r="C84" s="91">
        <v>45822.0</v>
      </c>
      <c r="D84" s="45"/>
      <c r="E84" s="46"/>
      <c r="F84" s="46"/>
    </row>
    <row r="85">
      <c r="A85" s="41" t="s">
        <v>1056</v>
      </c>
      <c r="B85" s="41"/>
      <c r="C85" s="91">
        <v>45823.0</v>
      </c>
      <c r="D85" s="45"/>
      <c r="E85" s="46"/>
      <c r="F85" s="46"/>
    </row>
    <row r="86">
      <c r="A86" s="41" t="s">
        <v>1058</v>
      </c>
      <c r="B86" s="41"/>
      <c r="C86" s="91">
        <v>45824.0</v>
      </c>
      <c r="D86" s="45"/>
      <c r="E86" s="46"/>
      <c r="F86" s="46"/>
    </row>
    <row r="87">
      <c r="A87" s="41" t="s">
        <v>1061</v>
      </c>
      <c r="B87" s="41"/>
      <c r="C87" s="91">
        <v>45825.0</v>
      </c>
      <c r="D87" s="45"/>
      <c r="E87" s="46"/>
      <c r="F87" s="46"/>
    </row>
    <row r="88">
      <c r="A88" s="41" t="s">
        <v>1063</v>
      </c>
      <c r="B88" s="41"/>
      <c r="C88" s="91">
        <v>45826.0</v>
      </c>
      <c r="D88" s="45"/>
      <c r="E88" s="46"/>
      <c r="F88" s="46"/>
    </row>
    <row r="89">
      <c r="A89" s="41" t="s">
        <v>1065</v>
      </c>
      <c r="B89" s="41"/>
      <c r="C89" s="91">
        <v>45827.0</v>
      </c>
      <c r="D89" s="45"/>
      <c r="E89" s="46"/>
      <c r="F89" s="46"/>
    </row>
    <row r="90">
      <c r="A90" s="41" t="s">
        <v>1067</v>
      </c>
      <c r="B90" s="41"/>
      <c r="C90" s="91">
        <v>45828.0</v>
      </c>
      <c r="D90" s="45"/>
      <c r="E90" s="46"/>
      <c r="F90" s="46"/>
    </row>
    <row r="91">
      <c r="A91" s="41" t="s">
        <v>1069</v>
      </c>
      <c r="B91" s="41"/>
      <c r="C91" s="91">
        <v>45829.0</v>
      </c>
      <c r="D91" s="45"/>
      <c r="E91" s="46"/>
      <c r="F91" s="46"/>
    </row>
    <row r="92">
      <c r="A92" s="41" t="s">
        <v>1071</v>
      </c>
      <c r="B92" s="41"/>
      <c r="C92" s="91">
        <v>45830.0</v>
      </c>
      <c r="D92" s="45"/>
      <c r="E92" s="46"/>
      <c r="F92" s="46"/>
    </row>
    <row r="93">
      <c r="A93" s="41" t="s">
        <v>1073</v>
      </c>
      <c r="B93" s="41"/>
      <c r="C93" s="91">
        <v>45831.0</v>
      </c>
      <c r="D93" s="45"/>
      <c r="E93" s="46"/>
      <c r="F93" s="46"/>
    </row>
    <row r="94">
      <c r="A94" s="41" t="s">
        <v>1075</v>
      </c>
      <c r="B94" s="41"/>
      <c r="C94" s="91">
        <v>45832.0</v>
      </c>
      <c r="D94" s="45"/>
      <c r="E94" s="46"/>
      <c r="F94" s="46"/>
    </row>
    <row r="95">
      <c r="A95" s="41" t="s">
        <v>1078</v>
      </c>
      <c r="B95" s="41"/>
      <c r="C95" s="91">
        <v>45833.0</v>
      </c>
      <c r="D95" s="45"/>
      <c r="E95" s="46"/>
      <c r="F95" s="46"/>
    </row>
    <row r="96">
      <c r="A96" s="41" t="s">
        <v>1080</v>
      </c>
      <c r="B96" s="41"/>
      <c r="C96" s="91">
        <v>45834.0</v>
      </c>
      <c r="D96" s="45"/>
      <c r="E96" s="46"/>
      <c r="F96" s="46"/>
    </row>
    <row r="97">
      <c r="A97" s="41" t="s">
        <v>1082</v>
      </c>
      <c r="B97" s="41"/>
      <c r="C97" s="91">
        <v>45835.0</v>
      </c>
      <c r="D97" s="45"/>
      <c r="E97" s="46"/>
      <c r="F97" s="46"/>
    </row>
    <row r="98">
      <c r="A98" s="41" t="s">
        <v>1084</v>
      </c>
      <c r="B98" s="41"/>
      <c r="C98" s="91">
        <v>45836.0</v>
      </c>
      <c r="D98" s="45"/>
      <c r="E98" s="46"/>
      <c r="F98" s="46"/>
    </row>
    <row r="99">
      <c r="A99" s="41" t="s">
        <v>1086</v>
      </c>
      <c r="B99" s="41"/>
      <c r="C99" s="91">
        <v>45837.0</v>
      </c>
      <c r="D99" s="45"/>
      <c r="E99" s="46"/>
      <c r="F99" s="46"/>
    </row>
    <row r="100">
      <c r="A100" s="41" t="s">
        <v>1088</v>
      </c>
      <c r="B100" s="41"/>
      <c r="C100" s="91">
        <v>45838.0</v>
      </c>
      <c r="D100" s="45"/>
      <c r="E100" s="46"/>
      <c r="F100" s="46"/>
    </row>
    <row r="101">
      <c r="A101" s="41" t="s">
        <v>1090</v>
      </c>
      <c r="B101" s="41"/>
      <c r="C101" s="91">
        <v>45839.0</v>
      </c>
      <c r="D101" s="45"/>
      <c r="E101" s="46"/>
      <c r="F101" s="46"/>
    </row>
    <row r="102">
      <c r="A102" s="41" t="s">
        <v>1093</v>
      </c>
      <c r="B102" s="41"/>
      <c r="C102" s="91">
        <v>45840.0</v>
      </c>
      <c r="D102" s="45"/>
      <c r="E102" s="46"/>
      <c r="F102" s="46"/>
    </row>
    <row r="103">
      <c r="A103" s="41" t="s">
        <v>1094</v>
      </c>
      <c r="B103" s="41"/>
      <c r="C103" s="91">
        <v>45841.0</v>
      </c>
      <c r="D103" s="45"/>
      <c r="E103" s="46"/>
      <c r="F103" s="46"/>
    </row>
    <row r="104">
      <c r="A104" s="41" t="s">
        <v>1095</v>
      </c>
      <c r="B104" s="41"/>
      <c r="C104" s="91">
        <v>45842.0</v>
      </c>
      <c r="D104" s="45"/>
      <c r="E104" s="46"/>
      <c r="F104" s="46"/>
    </row>
    <row r="105">
      <c r="A105" s="41" t="s">
        <v>1096</v>
      </c>
      <c r="B105" s="41"/>
      <c r="C105" s="91">
        <v>45843.0</v>
      </c>
      <c r="D105" s="45"/>
      <c r="E105" s="46"/>
      <c r="F105" s="46"/>
    </row>
    <row r="106">
      <c r="A106" s="41" t="s">
        <v>1097</v>
      </c>
      <c r="B106" s="41"/>
      <c r="C106" s="91">
        <v>45844.0</v>
      </c>
      <c r="D106" s="45"/>
      <c r="E106" s="46"/>
      <c r="F106" s="46"/>
    </row>
    <row r="107">
      <c r="A107" s="41" t="s">
        <v>1099</v>
      </c>
      <c r="B107" s="41"/>
      <c r="C107" s="91">
        <v>45845.0</v>
      </c>
      <c r="D107" s="45"/>
      <c r="E107" s="46"/>
      <c r="F107" s="46"/>
    </row>
    <row r="108">
      <c r="A108" s="41" t="s">
        <v>1102</v>
      </c>
      <c r="B108" s="41"/>
      <c r="C108" s="91">
        <v>45846.0</v>
      </c>
      <c r="D108" s="45"/>
      <c r="E108" s="46"/>
      <c r="F108" s="46"/>
    </row>
    <row r="109">
      <c r="A109" s="41" t="s">
        <v>1104</v>
      </c>
      <c r="B109" s="41"/>
      <c r="C109" s="91">
        <v>45847.0</v>
      </c>
      <c r="D109" s="45"/>
      <c r="E109" s="46"/>
      <c r="F109" s="46"/>
    </row>
    <row r="110">
      <c r="A110" s="12"/>
      <c r="B110" s="12"/>
      <c r="C110" s="60"/>
      <c r="D110" s="60"/>
    </row>
    <row r="111">
      <c r="A111" s="12"/>
      <c r="B111" s="12"/>
      <c r="C111" s="60"/>
      <c r="D111" s="60"/>
    </row>
    <row r="112">
      <c r="A112" s="12"/>
      <c r="B112" s="12"/>
      <c r="C112" s="60"/>
      <c r="D112" s="60"/>
    </row>
    <row r="113">
      <c r="A113" s="12"/>
      <c r="B113" s="12"/>
      <c r="C113" s="60"/>
      <c r="D113" s="60"/>
    </row>
    <row r="114">
      <c r="A114" s="12"/>
      <c r="B114" s="12"/>
      <c r="C114" s="60"/>
      <c r="D114" s="60"/>
    </row>
    <row r="115">
      <c r="A115" s="12"/>
      <c r="B115" s="12"/>
      <c r="C115" s="60"/>
      <c r="D115" s="60"/>
    </row>
    <row r="116">
      <c r="A116" s="12"/>
      <c r="B116" s="12"/>
      <c r="C116" s="60"/>
      <c r="D116" s="60"/>
    </row>
    <row r="117">
      <c r="A117" s="12"/>
      <c r="B117" s="12"/>
      <c r="C117" s="60"/>
      <c r="D117" s="60"/>
    </row>
    <row r="118">
      <c r="A118" s="12"/>
      <c r="B118" s="12"/>
      <c r="C118" s="60"/>
      <c r="D118" s="60"/>
    </row>
    <row r="119">
      <c r="A119" s="12"/>
      <c r="B119" s="12"/>
      <c r="C119" s="60"/>
      <c r="D119" s="60"/>
    </row>
    <row r="120">
      <c r="A120" s="12"/>
      <c r="B120" s="12"/>
      <c r="C120" s="60"/>
      <c r="D120" s="60"/>
    </row>
    <row r="121">
      <c r="A121" s="12"/>
      <c r="B121" s="12"/>
      <c r="C121" s="60"/>
      <c r="D121" s="60"/>
    </row>
    <row r="122">
      <c r="A122" s="12"/>
      <c r="B122" s="12"/>
      <c r="C122" s="60"/>
      <c r="D122" s="60"/>
    </row>
    <row r="123">
      <c r="A123" s="12"/>
      <c r="B123" s="12"/>
      <c r="C123" s="60"/>
      <c r="D123" s="60"/>
    </row>
    <row r="124">
      <c r="A124" s="12"/>
      <c r="B124" s="12"/>
      <c r="C124" s="60"/>
      <c r="D124" s="60"/>
    </row>
    <row r="125">
      <c r="A125" s="12"/>
      <c r="B125" s="12"/>
      <c r="C125" s="60"/>
      <c r="D125" s="60"/>
    </row>
    <row r="126">
      <c r="A126" s="12"/>
      <c r="B126" s="12"/>
      <c r="C126" s="60"/>
      <c r="D126" s="60"/>
    </row>
    <row r="127">
      <c r="A127" s="12"/>
      <c r="B127" s="12"/>
      <c r="C127" s="60"/>
      <c r="D127" s="60"/>
    </row>
    <row r="128">
      <c r="A128" s="12"/>
      <c r="B128" s="12"/>
      <c r="C128" s="60"/>
      <c r="D128" s="60"/>
    </row>
    <row r="129">
      <c r="A129" s="12"/>
      <c r="B129" s="12"/>
      <c r="C129" s="60"/>
      <c r="D129" s="60"/>
    </row>
    <row r="130">
      <c r="A130" s="12"/>
      <c r="B130" s="12"/>
      <c r="C130" s="60"/>
      <c r="D130" s="60"/>
    </row>
    <row r="131">
      <c r="A131" s="12"/>
      <c r="B131" s="12"/>
      <c r="C131" s="60"/>
      <c r="D131" s="60"/>
    </row>
    <row r="132">
      <c r="A132" s="12"/>
      <c r="B132" s="12"/>
      <c r="C132" s="60"/>
      <c r="D132" s="60"/>
    </row>
    <row r="133">
      <c r="A133" s="12"/>
      <c r="B133" s="12"/>
      <c r="C133" s="60"/>
      <c r="D133" s="60"/>
    </row>
    <row r="134">
      <c r="A134" s="12"/>
      <c r="B134" s="12"/>
      <c r="C134" s="60"/>
      <c r="D134" s="60"/>
    </row>
    <row r="135">
      <c r="A135" s="12"/>
      <c r="B135" s="12"/>
      <c r="C135" s="60"/>
      <c r="D135" s="60"/>
    </row>
    <row r="136">
      <c r="A136" s="12"/>
      <c r="B136" s="12"/>
      <c r="C136" s="60"/>
      <c r="D136" s="60"/>
    </row>
    <row r="137">
      <c r="A137" s="12"/>
      <c r="B137" s="12"/>
      <c r="C137" s="60"/>
      <c r="D137" s="60"/>
    </row>
    <row r="138">
      <c r="A138" s="12"/>
      <c r="B138" s="12"/>
      <c r="C138" s="60"/>
      <c r="D138" s="60"/>
    </row>
    <row r="139">
      <c r="A139" s="12"/>
      <c r="B139" s="12"/>
      <c r="C139" s="60"/>
      <c r="D139" s="60"/>
    </row>
    <row r="140">
      <c r="A140" s="12"/>
      <c r="B140" s="12"/>
      <c r="C140" s="60"/>
      <c r="D140" s="60"/>
    </row>
    <row r="141">
      <c r="A141" s="12"/>
      <c r="B141" s="12"/>
      <c r="C141" s="60"/>
      <c r="D141" s="60"/>
    </row>
    <row r="142">
      <c r="A142" s="12"/>
      <c r="B142" s="12"/>
      <c r="C142" s="60"/>
      <c r="D142" s="60"/>
    </row>
    <row r="143">
      <c r="A143" s="12"/>
      <c r="B143" s="12"/>
      <c r="C143" s="60"/>
      <c r="D143" s="60"/>
    </row>
    <row r="144">
      <c r="A144" s="12"/>
      <c r="B144" s="12"/>
      <c r="C144" s="60"/>
      <c r="D144" s="60"/>
    </row>
    <row r="145">
      <c r="A145" s="12"/>
      <c r="B145" s="12"/>
      <c r="C145" s="60"/>
      <c r="D145" s="60"/>
    </row>
    <row r="146">
      <c r="A146" s="12"/>
      <c r="B146" s="12"/>
      <c r="C146" s="60"/>
      <c r="D146" s="60"/>
    </row>
    <row r="147">
      <c r="A147" s="12"/>
      <c r="B147" s="12"/>
      <c r="C147" s="60"/>
      <c r="D147" s="60"/>
    </row>
    <row r="148">
      <c r="A148" s="12"/>
      <c r="B148" s="12"/>
      <c r="C148" s="60"/>
      <c r="D148" s="60"/>
    </row>
    <row r="149">
      <c r="A149" s="12"/>
      <c r="B149" s="12"/>
      <c r="C149" s="60"/>
      <c r="D149" s="60"/>
    </row>
    <row r="150">
      <c r="A150" s="12"/>
      <c r="B150" s="12"/>
      <c r="C150" s="60"/>
      <c r="D150" s="60"/>
    </row>
    <row r="151">
      <c r="A151" s="12"/>
      <c r="B151" s="12"/>
      <c r="C151" s="60"/>
      <c r="D151" s="60"/>
    </row>
    <row r="152">
      <c r="A152" s="12"/>
      <c r="B152" s="12"/>
      <c r="C152" s="60"/>
      <c r="D152" s="60"/>
    </row>
    <row r="153">
      <c r="A153" s="12"/>
      <c r="B153" s="12"/>
      <c r="C153" s="60"/>
      <c r="D153" s="60"/>
    </row>
    <row r="154">
      <c r="A154" s="12"/>
      <c r="B154" s="12"/>
      <c r="C154" s="60"/>
      <c r="D154" s="60"/>
    </row>
    <row r="155">
      <c r="A155" s="12"/>
      <c r="B155" s="12"/>
      <c r="C155" s="60"/>
      <c r="D155" s="60"/>
    </row>
    <row r="156">
      <c r="A156" s="12"/>
      <c r="B156" s="12"/>
      <c r="C156" s="60"/>
      <c r="D156" s="60"/>
    </row>
    <row r="157">
      <c r="A157" s="12"/>
      <c r="B157" s="12"/>
      <c r="C157" s="60"/>
      <c r="D157" s="60"/>
    </row>
    <row r="158">
      <c r="A158" s="12"/>
      <c r="B158" s="12"/>
      <c r="C158" s="60"/>
      <c r="D158" s="60"/>
    </row>
    <row r="159">
      <c r="A159" s="12"/>
      <c r="B159" s="12"/>
      <c r="C159" s="60"/>
      <c r="D159" s="60"/>
    </row>
    <row r="160">
      <c r="A160" s="12"/>
      <c r="B160" s="12"/>
      <c r="C160" s="60"/>
      <c r="D160" s="60"/>
    </row>
    <row r="161">
      <c r="A161" s="12"/>
      <c r="B161" s="12"/>
      <c r="C161" s="60"/>
      <c r="D161" s="60"/>
    </row>
    <row r="162">
      <c r="A162" s="12"/>
      <c r="B162" s="12"/>
      <c r="C162" s="60"/>
      <c r="D162" s="60"/>
    </row>
    <row r="163">
      <c r="A163" s="12"/>
      <c r="B163" s="12"/>
      <c r="C163" s="60"/>
      <c r="D163" s="60"/>
    </row>
    <row r="164">
      <c r="A164" s="12"/>
      <c r="B164" s="12"/>
      <c r="C164" s="60"/>
      <c r="D164" s="60"/>
    </row>
    <row r="165">
      <c r="A165" s="12"/>
      <c r="B165" s="12"/>
      <c r="C165" s="60"/>
      <c r="D165" s="60"/>
    </row>
    <row r="166">
      <c r="A166" s="12"/>
      <c r="B166" s="12"/>
      <c r="C166" s="60"/>
      <c r="D166" s="60"/>
    </row>
    <row r="167">
      <c r="A167" s="12"/>
      <c r="B167" s="12"/>
      <c r="C167" s="60"/>
      <c r="D167" s="60"/>
    </row>
    <row r="168">
      <c r="A168" s="12"/>
      <c r="B168" s="12"/>
      <c r="C168" s="60"/>
      <c r="D168" s="60"/>
    </row>
    <row r="169">
      <c r="A169" s="12"/>
      <c r="B169" s="12"/>
      <c r="C169" s="60"/>
      <c r="D169" s="60"/>
    </row>
    <row r="170">
      <c r="A170" s="12"/>
      <c r="B170" s="12"/>
      <c r="C170" s="60"/>
      <c r="D170" s="60"/>
    </row>
    <row r="171">
      <c r="A171" s="12"/>
      <c r="B171" s="12"/>
      <c r="C171" s="60"/>
      <c r="D171" s="60"/>
    </row>
    <row r="172">
      <c r="A172" s="12"/>
      <c r="B172" s="12"/>
      <c r="C172" s="60"/>
      <c r="D172" s="60"/>
    </row>
    <row r="173">
      <c r="A173" s="12"/>
      <c r="B173" s="12"/>
      <c r="C173" s="60"/>
      <c r="D173" s="60"/>
    </row>
    <row r="174">
      <c r="A174" s="12"/>
      <c r="B174" s="12"/>
      <c r="C174" s="60"/>
      <c r="D174" s="60"/>
    </row>
    <row r="175">
      <c r="A175" s="12"/>
      <c r="B175" s="12"/>
      <c r="C175" s="60"/>
      <c r="D175" s="60"/>
    </row>
    <row r="176">
      <c r="A176" s="12"/>
      <c r="B176" s="12"/>
      <c r="C176" s="60"/>
      <c r="D176" s="60"/>
    </row>
    <row r="177">
      <c r="A177" s="12"/>
      <c r="B177" s="12"/>
      <c r="C177" s="60"/>
      <c r="D177" s="60"/>
    </row>
    <row r="178">
      <c r="A178" s="12"/>
      <c r="B178" s="12"/>
      <c r="C178" s="60"/>
      <c r="D178" s="60"/>
    </row>
    <row r="179">
      <c r="A179" s="12"/>
      <c r="B179" s="12"/>
      <c r="C179" s="60"/>
      <c r="D179" s="60"/>
    </row>
    <row r="180">
      <c r="A180" s="12"/>
      <c r="B180" s="12"/>
      <c r="C180" s="60"/>
      <c r="D180" s="60"/>
    </row>
    <row r="181">
      <c r="A181" s="12"/>
      <c r="B181" s="12"/>
      <c r="C181" s="60"/>
      <c r="D181" s="60"/>
    </row>
    <row r="182">
      <c r="A182" s="12"/>
      <c r="B182" s="12"/>
      <c r="C182" s="60"/>
      <c r="D182" s="60"/>
    </row>
    <row r="183">
      <c r="A183" s="12"/>
      <c r="B183" s="12"/>
      <c r="C183" s="60"/>
      <c r="D183" s="60"/>
    </row>
    <row r="184">
      <c r="A184" s="12"/>
      <c r="B184" s="12"/>
      <c r="C184" s="60"/>
      <c r="D184" s="60"/>
    </row>
    <row r="185">
      <c r="A185" s="12"/>
      <c r="B185" s="12"/>
      <c r="C185" s="60"/>
      <c r="D185" s="60"/>
    </row>
    <row r="186">
      <c r="A186" s="12"/>
      <c r="B186" s="12"/>
      <c r="C186" s="60"/>
      <c r="D186" s="60"/>
    </row>
    <row r="187">
      <c r="A187" s="12"/>
      <c r="B187" s="12"/>
      <c r="C187" s="60"/>
      <c r="D187" s="60"/>
    </row>
    <row r="188">
      <c r="A188" s="12"/>
      <c r="B188" s="12"/>
      <c r="C188" s="60"/>
      <c r="D188" s="60"/>
    </row>
    <row r="189">
      <c r="A189" s="12"/>
      <c r="B189" s="12"/>
      <c r="C189" s="60"/>
      <c r="D189" s="60"/>
    </row>
    <row r="190">
      <c r="A190" s="12"/>
      <c r="B190" s="12"/>
      <c r="C190" s="60"/>
      <c r="D190" s="60"/>
    </row>
    <row r="191">
      <c r="A191" s="12"/>
      <c r="B191" s="12"/>
      <c r="C191" s="60"/>
      <c r="D191" s="60"/>
    </row>
    <row r="192">
      <c r="A192" s="12"/>
      <c r="B192" s="12"/>
      <c r="C192" s="60"/>
      <c r="D192" s="60"/>
    </row>
    <row r="193">
      <c r="A193" s="12"/>
      <c r="B193" s="12"/>
      <c r="C193" s="60"/>
      <c r="D193" s="60"/>
    </row>
    <row r="194">
      <c r="A194" s="12"/>
      <c r="B194" s="12"/>
      <c r="C194" s="60"/>
      <c r="D194" s="60"/>
    </row>
    <row r="195">
      <c r="A195" s="12"/>
      <c r="B195" s="12"/>
      <c r="C195" s="60"/>
      <c r="D195" s="60"/>
    </row>
    <row r="196">
      <c r="A196" s="12"/>
      <c r="B196" s="12"/>
      <c r="C196" s="60"/>
      <c r="D196" s="60"/>
    </row>
    <row r="197">
      <c r="A197" s="12"/>
      <c r="B197" s="12"/>
      <c r="C197" s="60"/>
      <c r="D197" s="60"/>
    </row>
    <row r="198">
      <c r="A198" s="12"/>
      <c r="B198" s="12"/>
      <c r="C198" s="60"/>
      <c r="D198" s="60"/>
    </row>
    <row r="199">
      <c r="A199" s="12"/>
      <c r="B199" s="12"/>
      <c r="C199" s="60"/>
      <c r="D199" s="60"/>
    </row>
    <row r="200">
      <c r="A200" s="12"/>
      <c r="B200" s="12"/>
      <c r="C200" s="60"/>
      <c r="D200" s="60"/>
    </row>
    <row r="201">
      <c r="A201" s="12"/>
      <c r="B201" s="12"/>
      <c r="C201" s="60"/>
      <c r="D201" s="60"/>
    </row>
    <row r="202">
      <c r="A202" s="12"/>
      <c r="B202" s="12"/>
      <c r="C202" s="60"/>
      <c r="D202" s="60"/>
    </row>
    <row r="203">
      <c r="A203" s="12"/>
      <c r="B203" s="12"/>
      <c r="C203" s="60"/>
      <c r="D203" s="60"/>
    </row>
    <row r="204">
      <c r="A204" s="12"/>
      <c r="B204" s="12"/>
      <c r="C204" s="60"/>
      <c r="D204" s="60"/>
    </row>
    <row r="205">
      <c r="A205" s="12"/>
      <c r="B205" s="12"/>
      <c r="C205" s="60"/>
      <c r="D205" s="60"/>
    </row>
    <row r="206">
      <c r="A206" s="12"/>
      <c r="B206" s="12"/>
      <c r="C206" s="60"/>
      <c r="D206" s="60"/>
    </row>
    <row r="207">
      <c r="A207" s="12"/>
      <c r="B207" s="12"/>
      <c r="C207" s="60"/>
      <c r="D207" s="60"/>
    </row>
    <row r="208">
      <c r="A208" s="12"/>
      <c r="B208" s="12"/>
      <c r="C208" s="60"/>
      <c r="D208" s="60"/>
    </row>
    <row r="209">
      <c r="A209" s="12"/>
      <c r="B209" s="12"/>
      <c r="C209" s="60"/>
      <c r="D209" s="60"/>
    </row>
    <row r="210">
      <c r="A210" s="12"/>
      <c r="B210" s="12"/>
      <c r="C210" s="60"/>
      <c r="D210" s="60"/>
    </row>
    <row r="211">
      <c r="A211" s="12"/>
      <c r="B211" s="12"/>
      <c r="C211" s="60"/>
      <c r="D211" s="60"/>
    </row>
    <row r="212">
      <c r="A212" s="12"/>
      <c r="B212" s="12"/>
      <c r="C212" s="60"/>
      <c r="D212" s="60"/>
    </row>
    <row r="213">
      <c r="A213" s="12"/>
      <c r="B213" s="12"/>
      <c r="C213" s="60"/>
      <c r="D213" s="60"/>
    </row>
    <row r="214">
      <c r="A214" s="12"/>
      <c r="B214" s="12"/>
      <c r="C214" s="60"/>
      <c r="D214" s="60"/>
    </row>
    <row r="215">
      <c r="A215" s="12"/>
      <c r="B215" s="12"/>
      <c r="C215" s="60"/>
      <c r="D215" s="60"/>
    </row>
    <row r="216">
      <c r="A216" s="12"/>
      <c r="B216" s="12"/>
      <c r="C216" s="60"/>
      <c r="D216" s="60"/>
    </row>
    <row r="217">
      <c r="A217" s="12"/>
      <c r="B217" s="12"/>
      <c r="C217" s="60"/>
      <c r="D217" s="60"/>
    </row>
    <row r="218">
      <c r="A218" s="12"/>
      <c r="B218" s="12"/>
      <c r="C218" s="60"/>
      <c r="D218" s="60"/>
    </row>
    <row r="219">
      <c r="A219" s="12"/>
      <c r="B219" s="12"/>
      <c r="C219" s="60"/>
      <c r="D219" s="60"/>
    </row>
    <row r="220">
      <c r="A220" s="12"/>
      <c r="B220" s="12"/>
      <c r="C220" s="60"/>
      <c r="D220" s="60"/>
    </row>
    <row r="221">
      <c r="A221" s="12"/>
      <c r="B221" s="12"/>
      <c r="C221" s="60"/>
      <c r="D221" s="60"/>
    </row>
    <row r="222">
      <c r="A222" s="12"/>
      <c r="B222" s="12"/>
      <c r="C222" s="60"/>
      <c r="D222" s="60"/>
    </row>
    <row r="223">
      <c r="A223" s="12"/>
      <c r="B223" s="12"/>
      <c r="C223" s="60"/>
      <c r="D223" s="60"/>
    </row>
    <row r="224">
      <c r="A224" s="12"/>
      <c r="B224" s="12"/>
      <c r="C224" s="60"/>
      <c r="D224" s="60"/>
    </row>
    <row r="225">
      <c r="A225" s="12"/>
      <c r="B225" s="12"/>
      <c r="C225" s="60"/>
      <c r="D225" s="60"/>
    </row>
    <row r="226">
      <c r="A226" s="12"/>
      <c r="B226" s="12"/>
      <c r="C226" s="60"/>
      <c r="D226" s="60"/>
    </row>
    <row r="227">
      <c r="A227" s="12"/>
      <c r="B227" s="12"/>
      <c r="C227" s="60"/>
      <c r="D227" s="60"/>
    </row>
    <row r="228">
      <c r="A228" s="12"/>
      <c r="B228" s="12"/>
      <c r="C228" s="60"/>
      <c r="D228" s="60"/>
    </row>
    <row r="229">
      <c r="A229" s="12"/>
      <c r="B229" s="12"/>
      <c r="C229" s="60"/>
      <c r="D229" s="60"/>
    </row>
    <row r="230">
      <c r="A230" s="12"/>
      <c r="B230" s="12"/>
      <c r="C230" s="60"/>
      <c r="D230" s="60"/>
    </row>
    <row r="231">
      <c r="A231" s="12"/>
      <c r="B231" s="12"/>
      <c r="C231" s="60"/>
      <c r="D231" s="60"/>
    </row>
    <row r="232">
      <c r="A232" s="12"/>
      <c r="B232" s="12"/>
      <c r="C232" s="60"/>
      <c r="D232" s="60"/>
    </row>
    <row r="233">
      <c r="A233" s="12"/>
      <c r="B233" s="12"/>
      <c r="C233" s="60"/>
      <c r="D233" s="60"/>
    </row>
    <row r="234">
      <c r="A234" s="12"/>
      <c r="B234" s="12"/>
      <c r="C234" s="60"/>
      <c r="D234" s="60"/>
    </row>
    <row r="235">
      <c r="A235" s="12"/>
      <c r="B235" s="12"/>
      <c r="C235" s="60"/>
      <c r="D235" s="60"/>
    </row>
    <row r="236">
      <c r="A236" s="12"/>
      <c r="B236" s="12"/>
      <c r="C236" s="60"/>
      <c r="D236" s="60"/>
    </row>
    <row r="237">
      <c r="A237" s="12"/>
      <c r="B237" s="12"/>
      <c r="C237" s="60"/>
      <c r="D237" s="60"/>
    </row>
    <row r="238">
      <c r="A238" s="12"/>
      <c r="B238" s="12"/>
      <c r="C238" s="60"/>
      <c r="D238" s="60"/>
    </row>
    <row r="239">
      <c r="A239" s="12"/>
      <c r="B239" s="12"/>
      <c r="C239" s="60"/>
      <c r="D239" s="60"/>
    </row>
    <row r="240">
      <c r="A240" s="12"/>
      <c r="B240" s="12"/>
      <c r="C240" s="60"/>
      <c r="D240" s="60"/>
    </row>
    <row r="241">
      <c r="A241" s="12"/>
      <c r="B241" s="12"/>
      <c r="C241" s="60"/>
      <c r="D241" s="60"/>
    </row>
    <row r="242">
      <c r="A242" s="12"/>
      <c r="B242" s="12"/>
      <c r="C242" s="60"/>
      <c r="D242" s="60"/>
    </row>
    <row r="243">
      <c r="A243" s="12"/>
      <c r="B243" s="12"/>
      <c r="C243" s="60"/>
      <c r="D243" s="60"/>
    </row>
    <row r="244">
      <c r="A244" s="12"/>
      <c r="B244" s="12"/>
      <c r="C244" s="60"/>
      <c r="D244" s="60"/>
    </row>
    <row r="245">
      <c r="A245" s="12"/>
      <c r="B245" s="12"/>
      <c r="C245" s="60"/>
      <c r="D245" s="60"/>
    </row>
    <row r="246">
      <c r="A246" s="12"/>
      <c r="B246" s="12"/>
      <c r="C246" s="60"/>
      <c r="D246" s="60"/>
    </row>
    <row r="247">
      <c r="A247" s="12"/>
      <c r="B247" s="12"/>
      <c r="C247" s="60"/>
      <c r="D247" s="60"/>
    </row>
    <row r="248">
      <c r="A248" s="12"/>
      <c r="B248" s="12"/>
      <c r="C248" s="60"/>
      <c r="D248" s="60"/>
    </row>
    <row r="249">
      <c r="A249" s="12"/>
      <c r="B249" s="12"/>
      <c r="C249" s="60"/>
      <c r="D249" s="60"/>
    </row>
    <row r="250">
      <c r="A250" s="12"/>
      <c r="B250" s="12"/>
      <c r="C250" s="60"/>
      <c r="D250" s="60"/>
    </row>
    <row r="251">
      <c r="A251" s="12"/>
      <c r="B251" s="12"/>
      <c r="C251" s="60"/>
      <c r="D251" s="60"/>
    </row>
    <row r="252">
      <c r="A252" s="12"/>
      <c r="B252" s="12"/>
      <c r="C252" s="60"/>
      <c r="D252" s="60"/>
    </row>
    <row r="253">
      <c r="A253" s="12"/>
      <c r="B253" s="12"/>
      <c r="C253" s="60"/>
      <c r="D253" s="60"/>
    </row>
    <row r="254">
      <c r="A254" s="12"/>
      <c r="B254" s="12"/>
      <c r="C254" s="60"/>
      <c r="D254" s="60"/>
    </row>
    <row r="255">
      <c r="A255" s="12"/>
      <c r="B255" s="12"/>
      <c r="C255" s="60"/>
      <c r="D255" s="60"/>
    </row>
    <row r="256">
      <c r="A256" s="12"/>
      <c r="B256" s="12"/>
      <c r="C256" s="60"/>
      <c r="D256" s="60"/>
    </row>
    <row r="257">
      <c r="A257" s="12"/>
      <c r="B257" s="12"/>
      <c r="C257" s="60"/>
      <c r="D257" s="60"/>
    </row>
    <row r="258">
      <c r="A258" s="12"/>
      <c r="B258" s="12"/>
      <c r="C258" s="60"/>
      <c r="D258" s="60"/>
    </row>
    <row r="259">
      <c r="A259" s="12"/>
      <c r="B259" s="12"/>
      <c r="C259" s="60"/>
      <c r="D259" s="60"/>
    </row>
    <row r="260">
      <c r="A260" s="12"/>
      <c r="B260" s="12"/>
      <c r="C260" s="60"/>
      <c r="D260" s="60"/>
    </row>
    <row r="261">
      <c r="A261" s="12"/>
      <c r="B261" s="12"/>
      <c r="C261" s="60"/>
      <c r="D261" s="60"/>
    </row>
    <row r="262">
      <c r="A262" s="12"/>
      <c r="B262" s="12"/>
      <c r="C262" s="60"/>
      <c r="D262" s="60"/>
    </row>
    <row r="263">
      <c r="A263" s="12"/>
      <c r="B263" s="12"/>
      <c r="C263" s="60"/>
      <c r="D263" s="60"/>
    </row>
    <row r="264">
      <c r="A264" s="12"/>
      <c r="B264" s="12"/>
      <c r="C264" s="60"/>
      <c r="D264" s="60"/>
    </row>
    <row r="265">
      <c r="A265" s="12"/>
      <c r="B265" s="12"/>
      <c r="C265" s="60"/>
      <c r="D265" s="60"/>
    </row>
    <row r="266">
      <c r="A266" s="12"/>
      <c r="B266" s="12"/>
      <c r="C266" s="60"/>
      <c r="D266" s="60"/>
    </row>
    <row r="267">
      <c r="A267" s="12"/>
      <c r="B267" s="12"/>
      <c r="C267" s="60"/>
      <c r="D267" s="60"/>
    </row>
    <row r="268">
      <c r="A268" s="12"/>
      <c r="B268" s="12"/>
      <c r="C268" s="60"/>
      <c r="D268" s="60"/>
    </row>
    <row r="269">
      <c r="A269" s="12"/>
      <c r="B269" s="12"/>
      <c r="C269" s="60"/>
      <c r="D269" s="60"/>
    </row>
    <row r="270">
      <c r="A270" s="12"/>
      <c r="B270" s="12"/>
      <c r="C270" s="60"/>
      <c r="D270" s="60"/>
    </row>
    <row r="271">
      <c r="A271" s="12"/>
      <c r="B271" s="12"/>
      <c r="C271" s="60"/>
      <c r="D271" s="60"/>
    </row>
    <row r="272">
      <c r="A272" s="12"/>
      <c r="B272" s="12"/>
      <c r="C272" s="60"/>
      <c r="D272" s="60"/>
    </row>
    <row r="273">
      <c r="A273" s="12"/>
      <c r="B273" s="12"/>
      <c r="C273" s="60"/>
      <c r="D273" s="60"/>
    </row>
    <row r="274">
      <c r="A274" s="12"/>
      <c r="B274" s="12"/>
      <c r="C274" s="60"/>
      <c r="D274" s="60"/>
    </row>
    <row r="275">
      <c r="A275" s="12"/>
      <c r="B275" s="12"/>
      <c r="C275" s="60"/>
      <c r="D275" s="60"/>
    </row>
    <row r="276">
      <c r="A276" s="12"/>
      <c r="B276" s="12"/>
      <c r="C276" s="60"/>
      <c r="D276" s="60"/>
    </row>
    <row r="277">
      <c r="A277" s="12"/>
      <c r="B277" s="12"/>
      <c r="C277" s="60"/>
      <c r="D277" s="60"/>
    </row>
    <row r="278">
      <c r="A278" s="12"/>
      <c r="B278" s="12"/>
      <c r="C278" s="60"/>
      <c r="D278" s="60"/>
    </row>
    <row r="279">
      <c r="A279" s="12"/>
      <c r="B279" s="12"/>
      <c r="C279" s="60"/>
      <c r="D279" s="60"/>
    </row>
    <row r="280">
      <c r="A280" s="12"/>
      <c r="B280" s="12"/>
      <c r="C280" s="60"/>
      <c r="D280" s="60"/>
    </row>
    <row r="281">
      <c r="A281" s="12"/>
      <c r="B281" s="12"/>
      <c r="C281" s="60"/>
      <c r="D281" s="60"/>
    </row>
    <row r="282">
      <c r="A282" s="12"/>
      <c r="B282" s="12"/>
      <c r="C282" s="60"/>
      <c r="D282" s="60"/>
    </row>
    <row r="283">
      <c r="A283" s="12"/>
      <c r="B283" s="12"/>
      <c r="C283" s="60"/>
      <c r="D283" s="60"/>
    </row>
    <row r="284">
      <c r="A284" s="12"/>
      <c r="B284" s="12"/>
      <c r="C284" s="60"/>
      <c r="D284" s="60"/>
    </row>
    <row r="285">
      <c r="A285" s="12"/>
      <c r="B285" s="12"/>
      <c r="C285" s="60"/>
      <c r="D285" s="60"/>
    </row>
    <row r="286">
      <c r="A286" s="12"/>
      <c r="B286" s="12"/>
      <c r="C286" s="60"/>
      <c r="D286" s="60"/>
    </row>
    <row r="287">
      <c r="A287" s="12"/>
      <c r="B287" s="12"/>
      <c r="C287" s="60"/>
      <c r="D287" s="60"/>
    </row>
    <row r="288">
      <c r="A288" s="12"/>
      <c r="B288" s="12"/>
      <c r="C288" s="60"/>
      <c r="D288" s="60"/>
    </row>
    <row r="289">
      <c r="A289" s="12"/>
      <c r="B289" s="12"/>
      <c r="C289" s="60"/>
      <c r="D289" s="60"/>
    </row>
    <row r="290">
      <c r="A290" s="12"/>
      <c r="B290" s="12"/>
      <c r="C290" s="60"/>
      <c r="D290" s="60"/>
    </row>
    <row r="291">
      <c r="A291" s="12"/>
      <c r="B291" s="12"/>
      <c r="C291" s="60"/>
      <c r="D291" s="60"/>
    </row>
    <row r="292">
      <c r="A292" s="12"/>
      <c r="B292" s="12"/>
      <c r="C292" s="60"/>
      <c r="D292" s="60"/>
    </row>
    <row r="293">
      <c r="A293" s="12"/>
      <c r="B293" s="12"/>
      <c r="C293" s="60"/>
      <c r="D293" s="60"/>
    </row>
    <row r="294">
      <c r="A294" s="12"/>
      <c r="B294" s="12"/>
      <c r="C294" s="60"/>
      <c r="D294" s="60"/>
    </row>
    <row r="295">
      <c r="A295" s="12"/>
      <c r="B295" s="12"/>
      <c r="C295" s="60"/>
      <c r="D295" s="60"/>
    </row>
    <row r="296">
      <c r="A296" s="12"/>
      <c r="B296" s="12"/>
      <c r="C296" s="60"/>
      <c r="D296" s="60"/>
    </row>
    <row r="297">
      <c r="A297" s="12"/>
      <c r="B297" s="12"/>
      <c r="C297" s="60"/>
      <c r="D297" s="60"/>
    </row>
    <row r="298">
      <c r="A298" s="12"/>
      <c r="B298" s="12"/>
      <c r="C298" s="60"/>
      <c r="D298" s="60"/>
    </row>
    <row r="299">
      <c r="A299" s="12"/>
      <c r="B299" s="12"/>
      <c r="C299" s="60"/>
      <c r="D299" s="60"/>
    </row>
    <row r="300">
      <c r="A300" s="12"/>
      <c r="B300" s="12"/>
      <c r="C300" s="60"/>
      <c r="D300" s="60"/>
    </row>
    <row r="301">
      <c r="A301" s="12"/>
      <c r="B301" s="12"/>
      <c r="C301" s="60"/>
      <c r="D301" s="60"/>
    </row>
    <row r="302">
      <c r="A302" s="12"/>
      <c r="B302" s="12"/>
      <c r="C302" s="60"/>
      <c r="D302" s="60"/>
    </row>
    <row r="303">
      <c r="A303" s="12"/>
      <c r="B303" s="12"/>
      <c r="C303" s="60"/>
      <c r="D303" s="60"/>
    </row>
    <row r="304">
      <c r="A304" s="12"/>
      <c r="B304" s="12"/>
      <c r="C304" s="60"/>
      <c r="D304" s="60"/>
    </row>
    <row r="305">
      <c r="A305" s="12"/>
      <c r="B305" s="12"/>
      <c r="C305" s="60"/>
      <c r="D305" s="60"/>
    </row>
    <row r="306">
      <c r="A306" s="12"/>
      <c r="B306" s="12"/>
      <c r="C306" s="60"/>
      <c r="D306" s="60"/>
    </row>
    <row r="307">
      <c r="A307" s="12"/>
      <c r="B307" s="12"/>
      <c r="C307" s="60"/>
      <c r="D307" s="60"/>
    </row>
    <row r="308">
      <c r="A308" s="12"/>
      <c r="B308" s="12"/>
      <c r="C308" s="60"/>
      <c r="D308" s="60"/>
    </row>
    <row r="309">
      <c r="A309" s="12"/>
      <c r="B309" s="12"/>
      <c r="C309" s="60"/>
      <c r="D309" s="60"/>
    </row>
    <row r="310">
      <c r="A310" s="12"/>
      <c r="B310" s="12"/>
      <c r="C310" s="60"/>
      <c r="D310" s="60"/>
    </row>
    <row r="311">
      <c r="A311" s="12"/>
      <c r="B311" s="12"/>
      <c r="C311" s="60"/>
      <c r="D311" s="60"/>
    </row>
    <row r="312">
      <c r="A312" s="12"/>
      <c r="B312" s="12"/>
      <c r="C312" s="60"/>
      <c r="D312" s="60"/>
    </row>
    <row r="313">
      <c r="A313" s="12"/>
      <c r="B313" s="12"/>
      <c r="C313" s="60"/>
      <c r="D313" s="60"/>
    </row>
    <row r="314">
      <c r="A314" s="12"/>
      <c r="B314" s="12"/>
      <c r="C314" s="60"/>
      <c r="D314" s="60"/>
    </row>
    <row r="315">
      <c r="A315" s="12"/>
      <c r="B315" s="12"/>
      <c r="C315" s="60"/>
      <c r="D315" s="60"/>
    </row>
    <row r="316">
      <c r="A316" s="12"/>
      <c r="B316" s="12"/>
      <c r="C316" s="60"/>
      <c r="D316" s="60"/>
    </row>
    <row r="317">
      <c r="A317" s="12"/>
      <c r="B317" s="12"/>
      <c r="C317" s="60"/>
      <c r="D317" s="60"/>
    </row>
    <row r="318">
      <c r="A318" s="12"/>
      <c r="B318" s="12"/>
      <c r="C318" s="60"/>
      <c r="D318" s="60"/>
    </row>
    <row r="319">
      <c r="A319" s="12"/>
      <c r="B319" s="12"/>
      <c r="C319" s="60"/>
      <c r="D319" s="60"/>
    </row>
    <row r="320">
      <c r="A320" s="12"/>
      <c r="B320" s="12"/>
      <c r="C320" s="60"/>
      <c r="D320" s="60"/>
    </row>
    <row r="321">
      <c r="A321" s="12"/>
      <c r="B321" s="12"/>
      <c r="C321" s="60"/>
      <c r="D321" s="60"/>
    </row>
    <row r="322">
      <c r="A322" s="12"/>
      <c r="B322" s="12"/>
      <c r="C322" s="60"/>
      <c r="D322" s="60"/>
    </row>
    <row r="323">
      <c r="A323" s="12"/>
      <c r="B323" s="12"/>
      <c r="C323" s="60"/>
      <c r="D323" s="60"/>
    </row>
    <row r="324">
      <c r="A324" s="12"/>
      <c r="B324" s="12"/>
      <c r="C324" s="60"/>
      <c r="D324" s="60"/>
    </row>
    <row r="325">
      <c r="A325" s="12"/>
      <c r="B325" s="12"/>
      <c r="C325" s="60"/>
      <c r="D325" s="60"/>
    </row>
    <row r="326">
      <c r="A326" s="12"/>
      <c r="B326" s="12"/>
      <c r="C326" s="60"/>
      <c r="D326" s="60"/>
    </row>
    <row r="327">
      <c r="A327" s="12"/>
      <c r="B327" s="12"/>
      <c r="C327" s="60"/>
      <c r="D327" s="60"/>
    </row>
    <row r="328">
      <c r="A328" s="12"/>
      <c r="B328" s="12"/>
      <c r="C328" s="60"/>
      <c r="D328" s="60"/>
    </row>
    <row r="329">
      <c r="A329" s="12"/>
      <c r="B329" s="12"/>
      <c r="C329" s="60"/>
      <c r="D329" s="60"/>
    </row>
    <row r="330">
      <c r="A330" s="12"/>
      <c r="B330" s="12"/>
      <c r="C330" s="60"/>
      <c r="D330" s="60"/>
    </row>
    <row r="331">
      <c r="A331" s="12"/>
      <c r="B331" s="12"/>
      <c r="C331" s="60"/>
      <c r="D331" s="60"/>
    </row>
    <row r="332">
      <c r="A332" s="12"/>
      <c r="B332" s="12"/>
      <c r="C332" s="60"/>
      <c r="D332" s="60"/>
    </row>
    <row r="333">
      <c r="A333" s="12"/>
      <c r="B333" s="12"/>
      <c r="C333" s="60"/>
      <c r="D333" s="60"/>
    </row>
    <row r="334">
      <c r="A334" s="12"/>
      <c r="B334" s="12"/>
      <c r="C334" s="60"/>
      <c r="D334" s="60"/>
    </row>
    <row r="335">
      <c r="A335" s="12"/>
      <c r="B335" s="12"/>
      <c r="C335" s="60"/>
      <c r="D335" s="60"/>
    </row>
    <row r="336">
      <c r="A336" s="12"/>
      <c r="B336" s="12"/>
      <c r="C336" s="60"/>
      <c r="D336" s="60"/>
    </row>
    <row r="337">
      <c r="A337" s="12"/>
      <c r="B337" s="12"/>
      <c r="C337" s="60"/>
      <c r="D337" s="60"/>
    </row>
    <row r="338">
      <c r="A338" s="12"/>
      <c r="B338" s="12"/>
      <c r="C338" s="60"/>
      <c r="D338" s="60"/>
    </row>
    <row r="339">
      <c r="A339" s="12"/>
      <c r="B339" s="12"/>
      <c r="C339" s="60"/>
      <c r="D339" s="60"/>
    </row>
    <row r="340">
      <c r="A340" s="12"/>
      <c r="B340" s="12"/>
      <c r="C340" s="60"/>
      <c r="D340" s="60"/>
    </row>
    <row r="341">
      <c r="A341" s="12"/>
      <c r="B341" s="12"/>
      <c r="C341" s="60"/>
      <c r="D341" s="60"/>
    </row>
    <row r="342">
      <c r="A342" s="12"/>
      <c r="B342" s="12"/>
      <c r="C342" s="60"/>
      <c r="D342" s="60"/>
    </row>
    <row r="343">
      <c r="A343" s="12"/>
      <c r="B343" s="12"/>
      <c r="C343" s="60"/>
      <c r="D343" s="60"/>
    </row>
    <row r="344">
      <c r="A344" s="12"/>
      <c r="B344" s="12"/>
      <c r="C344" s="60"/>
      <c r="D344" s="60"/>
    </row>
    <row r="345">
      <c r="A345" s="12"/>
      <c r="B345" s="12"/>
      <c r="C345" s="60"/>
      <c r="D345" s="60"/>
    </row>
    <row r="346">
      <c r="A346" s="12"/>
      <c r="B346" s="12"/>
      <c r="C346" s="60"/>
      <c r="D346" s="60"/>
    </row>
    <row r="347">
      <c r="A347" s="12"/>
      <c r="B347" s="12"/>
      <c r="C347" s="60"/>
      <c r="D347" s="60"/>
    </row>
    <row r="348">
      <c r="A348" s="12"/>
      <c r="B348" s="12"/>
      <c r="C348" s="60"/>
      <c r="D348" s="60"/>
    </row>
    <row r="349">
      <c r="A349" s="12"/>
      <c r="B349" s="12"/>
      <c r="C349" s="60"/>
      <c r="D349" s="60"/>
    </row>
    <row r="350">
      <c r="A350" s="12"/>
      <c r="B350" s="12"/>
      <c r="C350" s="60"/>
      <c r="D350" s="60"/>
    </row>
    <row r="351">
      <c r="A351" s="12"/>
      <c r="B351" s="12"/>
      <c r="C351" s="60"/>
      <c r="D351" s="60"/>
    </row>
    <row r="352">
      <c r="A352" s="12"/>
      <c r="B352" s="12"/>
      <c r="C352" s="60"/>
      <c r="D352" s="60"/>
    </row>
    <row r="353">
      <c r="A353" s="12"/>
      <c r="B353" s="12"/>
      <c r="C353" s="60"/>
      <c r="D353" s="60"/>
    </row>
    <row r="354">
      <c r="A354" s="12"/>
      <c r="B354" s="12"/>
      <c r="C354" s="60"/>
      <c r="D354" s="60"/>
    </row>
    <row r="355">
      <c r="A355" s="12"/>
      <c r="B355" s="12"/>
      <c r="C355" s="60"/>
      <c r="D355" s="60"/>
    </row>
    <row r="356">
      <c r="A356" s="12"/>
      <c r="B356" s="12"/>
      <c r="C356" s="60"/>
      <c r="D356" s="60"/>
    </row>
    <row r="357">
      <c r="A357" s="12"/>
      <c r="B357" s="12"/>
      <c r="C357" s="60"/>
      <c r="D357" s="60"/>
    </row>
    <row r="358">
      <c r="A358" s="12"/>
      <c r="B358" s="12"/>
      <c r="C358" s="60"/>
      <c r="D358" s="60"/>
    </row>
    <row r="359">
      <c r="A359" s="12"/>
      <c r="B359" s="12"/>
      <c r="C359" s="60"/>
      <c r="D359" s="60"/>
    </row>
    <row r="360">
      <c r="A360" s="12"/>
      <c r="B360" s="12"/>
      <c r="C360" s="60"/>
      <c r="D360" s="60"/>
    </row>
    <row r="361">
      <c r="A361" s="12"/>
      <c r="B361" s="12"/>
      <c r="C361" s="60"/>
      <c r="D361" s="60"/>
    </row>
    <row r="362">
      <c r="A362" s="12"/>
      <c r="B362" s="12"/>
      <c r="C362" s="60"/>
      <c r="D362" s="60"/>
    </row>
    <row r="363">
      <c r="A363" s="12"/>
      <c r="B363" s="12"/>
      <c r="C363" s="60"/>
      <c r="D363" s="60"/>
    </row>
    <row r="364">
      <c r="A364" s="12"/>
      <c r="B364" s="12"/>
      <c r="C364" s="60"/>
      <c r="D364" s="60"/>
    </row>
    <row r="365">
      <c r="A365" s="12"/>
      <c r="B365" s="12"/>
      <c r="C365" s="60"/>
      <c r="D365" s="60"/>
    </row>
    <row r="366">
      <c r="A366" s="12"/>
      <c r="B366" s="12"/>
      <c r="C366" s="60"/>
      <c r="D366" s="60"/>
    </row>
    <row r="367">
      <c r="A367" s="12"/>
      <c r="B367" s="12"/>
      <c r="C367" s="60"/>
      <c r="D367" s="60"/>
    </row>
    <row r="368">
      <c r="A368" s="12"/>
      <c r="B368" s="12"/>
      <c r="C368" s="60"/>
      <c r="D368" s="60"/>
    </row>
    <row r="369">
      <c r="A369" s="12"/>
      <c r="B369" s="12"/>
      <c r="C369" s="60"/>
      <c r="D369" s="60"/>
    </row>
    <row r="370">
      <c r="A370" s="12"/>
      <c r="B370" s="12"/>
      <c r="C370" s="60"/>
      <c r="D370" s="60"/>
    </row>
    <row r="371">
      <c r="A371" s="12"/>
      <c r="B371" s="12"/>
      <c r="C371" s="60"/>
      <c r="D371" s="60"/>
    </row>
    <row r="372">
      <c r="A372" s="12"/>
      <c r="B372" s="12"/>
      <c r="C372" s="60"/>
      <c r="D372" s="60"/>
    </row>
    <row r="373">
      <c r="A373" s="12"/>
      <c r="B373" s="12"/>
      <c r="C373" s="60"/>
      <c r="D373" s="60"/>
    </row>
    <row r="374">
      <c r="A374" s="12"/>
      <c r="B374" s="12"/>
      <c r="C374" s="60"/>
      <c r="D374" s="60"/>
    </row>
    <row r="375">
      <c r="A375" s="12"/>
      <c r="B375" s="12"/>
      <c r="C375" s="60"/>
      <c r="D375" s="60"/>
    </row>
    <row r="376">
      <c r="A376" s="12"/>
      <c r="B376" s="12"/>
      <c r="C376" s="60"/>
      <c r="D376" s="60"/>
    </row>
    <row r="377">
      <c r="A377" s="12"/>
      <c r="B377" s="12"/>
      <c r="C377" s="60"/>
      <c r="D377" s="60"/>
    </row>
    <row r="378">
      <c r="A378" s="12"/>
      <c r="B378" s="12"/>
      <c r="C378" s="60"/>
      <c r="D378" s="60"/>
    </row>
    <row r="379">
      <c r="A379" s="12"/>
      <c r="B379" s="12"/>
      <c r="C379" s="60"/>
      <c r="D379" s="60"/>
    </row>
    <row r="380">
      <c r="A380" s="12"/>
      <c r="B380" s="12"/>
      <c r="C380" s="60"/>
      <c r="D380" s="60"/>
    </row>
    <row r="381">
      <c r="A381" s="12"/>
      <c r="B381" s="12"/>
      <c r="C381" s="60"/>
      <c r="D381" s="60"/>
    </row>
    <row r="382">
      <c r="A382" s="12"/>
      <c r="B382" s="12"/>
      <c r="C382" s="60"/>
      <c r="D382" s="60"/>
    </row>
    <row r="383">
      <c r="A383" s="12"/>
      <c r="B383" s="12"/>
      <c r="C383" s="60"/>
      <c r="D383" s="60"/>
    </row>
    <row r="384">
      <c r="A384" s="12"/>
      <c r="B384" s="12"/>
      <c r="C384" s="60"/>
      <c r="D384" s="60"/>
    </row>
    <row r="385">
      <c r="A385" s="12"/>
      <c r="B385" s="12"/>
      <c r="C385" s="60"/>
      <c r="D385" s="60"/>
    </row>
    <row r="386">
      <c r="A386" s="12"/>
      <c r="B386" s="12"/>
      <c r="C386" s="60"/>
      <c r="D386" s="60"/>
    </row>
    <row r="387">
      <c r="A387" s="12"/>
      <c r="B387" s="12"/>
      <c r="C387" s="60"/>
      <c r="D387" s="60"/>
    </row>
    <row r="388">
      <c r="A388" s="12"/>
      <c r="B388" s="12"/>
      <c r="C388" s="60"/>
      <c r="D388" s="60"/>
    </row>
    <row r="389">
      <c r="A389" s="12"/>
      <c r="B389" s="12"/>
      <c r="C389" s="60"/>
      <c r="D389" s="60"/>
    </row>
    <row r="390">
      <c r="A390" s="12"/>
      <c r="B390" s="12"/>
      <c r="C390" s="60"/>
      <c r="D390" s="60"/>
    </row>
    <row r="391">
      <c r="A391" s="12"/>
      <c r="B391" s="12"/>
      <c r="C391" s="60"/>
      <c r="D391" s="60"/>
    </row>
    <row r="392">
      <c r="A392" s="12"/>
      <c r="B392" s="12"/>
      <c r="C392" s="60"/>
      <c r="D392" s="60"/>
    </row>
    <row r="393">
      <c r="A393" s="12"/>
      <c r="B393" s="12"/>
      <c r="C393" s="60"/>
      <c r="D393" s="60"/>
    </row>
    <row r="394">
      <c r="A394" s="12"/>
      <c r="B394" s="12"/>
      <c r="C394" s="60"/>
      <c r="D394" s="60"/>
    </row>
    <row r="395">
      <c r="A395" s="12"/>
      <c r="B395" s="12"/>
      <c r="C395" s="60"/>
      <c r="D395" s="60"/>
    </row>
    <row r="396">
      <c r="A396" s="12"/>
      <c r="B396" s="12"/>
      <c r="C396" s="60"/>
      <c r="D396" s="60"/>
    </row>
    <row r="397">
      <c r="A397" s="12"/>
      <c r="B397" s="12"/>
      <c r="C397" s="60"/>
      <c r="D397" s="60"/>
    </row>
    <row r="398">
      <c r="A398" s="12"/>
      <c r="B398" s="12"/>
      <c r="C398" s="60"/>
      <c r="D398" s="60"/>
    </row>
    <row r="399">
      <c r="A399" s="12"/>
      <c r="B399" s="12"/>
      <c r="C399" s="60"/>
      <c r="D399" s="60"/>
    </row>
    <row r="400">
      <c r="A400" s="12"/>
      <c r="B400" s="12"/>
      <c r="C400" s="60"/>
      <c r="D400" s="60"/>
    </row>
    <row r="401">
      <c r="A401" s="12"/>
      <c r="B401" s="12"/>
      <c r="C401" s="60"/>
      <c r="D401" s="60"/>
    </row>
    <row r="402">
      <c r="A402" s="12"/>
      <c r="B402" s="12"/>
      <c r="C402" s="60"/>
      <c r="D402" s="60"/>
    </row>
    <row r="403">
      <c r="A403" s="12"/>
      <c r="B403" s="12"/>
      <c r="C403" s="60"/>
      <c r="D403" s="60"/>
    </row>
    <row r="404">
      <c r="A404" s="12"/>
      <c r="B404" s="12"/>
      <c r="C404" s="60"/>
      <c r="D404" s="60"/>
    </row>
    <row r="405">
      <c r="A405" s="12"/>
      <c r="B405" s="12"/>
      <c r="C405" s="60"/>
      <c r="D405" s="60"/>
    </row>
    <row r="406">
      <c r="A406" s="12"/>
      <c r="B406" s="12"/>
      <c r="C406" s="60"/>
      <c r="D406" s="60"/>
    </row>
    <row r="407">
      <c r="A407" s="12"/>
      <c r="B407" s="12"/>
      <c r="C407" s="60"/>
      <c r="D407" s="60"/>
    </row>
    <row r="408">
      <c r="A408" s="12"/>
      <c r="B408" s="12"/>
      <c r="C408" s="60"/>
      <c r="D408" s="60"/>
    </row>
    <row r="409">
      <c r="A409" s="12"/>
      <c r="B409" s="12"/>
      <c r="C409" s="60"/>
      <c r="D409" s="60"/>
    </row>
    <row r="410">
      <c r="A410" s="12"/>
      <c r="B410" s="12"/>
      <c r="C410" s="60"/>
      <c r="D410" s="60"/>
    </row>
    <row r="411">
      <c r="A411" s="12"/>
      <c r="B411" s="12"/>
      <c r="C411" s="60"/>
      <c r="D411" s="60"/>
    </row>
    <row r="412">
      <c r="A412" s="12"/>
      <c r="B412" s="12"/>
      <c r="C412" s="60"/>
      <c r="D412" s="60"/>
    </row>
    <row r="413">
      <c r="A413" s="12"/>
      <c r="B413" s="12"/>
      <c r="C413" s="60"/>
      <c r="D413" s="60"/>
    </row>
    <row r="414">
      <c r="A414" s="12"/>
      <c r="B414" s="12"/>
      <c r="C414" s="60"/>
      <c r="D414" s="60"/>
    </row>
    <row r="415">
      <c r="A415" s="12"/>
      <c r="B415" s="12"/>
      <c r="C415" s="60"/>
      <c r="D415" s="60"/>
    </row>
    <row r="416">
      <c r="A416" s="12"/>
      <c r="B416" s="12"/>
      <c r="C416" s="60"/>
      <c r="D416" s="60"/>
    </row>
    <row r="417">
      <c r="A417" s="12"/>
      <c r="B417" s="12"/>
      <c r="C417" s="60"/>
      <c r="D417" s="60"/>
    </row>
    <row r="418">
      <c r="A418" s="12"/>
      <c r="B418" s="12"/>
      <c r="C418" s="60"/>
      <c r="D418" s="60"/>
    </row>
    <row r="419">
      <c r="A419" s="12"/>
      <c r="B419" s="12"/>
      <c r="C419" s="60"/>
      <c r="D419" s="60"/>
    </row>
    <row r="420">
      <c r="A420" s="12"/>
      <c r="B420" s="12"/>
      <c r="C420" s="60"/>
      <c r="D420" s="60"/>
    </row>
    <row r="421">
      <c r="A421" s="12"/>
      <c r="B421" s="12"/>
      <c r="C421" s="60"/>
      <c r="D421" s="60"/>
    </row>
    <row r="422">
      <c r="A422" s="12"/>
      <c r="B422" s="12"/>
      <c r="C422" s="60"/>
      <c r="D422" s="60"/>
    </row>
    <row r="423">
      <c r="A423" s="12"/>
      <c r="B423" s="12"/>
      <c r="C423" s="60"/>
      <c r="D423" s="60"/>
    </row>
    <row r="424">
      <c r="A424" s="12"/>
      <c r="B424" s="12"/>
      <c r="C424" s="60"/>
      <c r="D424" s="60"/>
    </row>
    <row r="425">
      <c r="A425" s="12"/>
      <c r="B425" s="12"/>
      <c r="C425" s="60"/>
      <c r="D425" s="60"/>
    </row>
    <row r="426">
      <c r="A426" s="12"/>
      <c r="B426" s="12"/>
      <c r="C426" s="60"/>
      <c r="D426" s="60"/>
    </row>
    <row r="427">
      <c r="A427" s="12"/>
      <c r="B427" s="12"/>
      <c r="C427" s="60"/>
      <c r="D427" s="60"/>
    </row>
    <row r="428">
      <c r="A428" s="12"/>
      <c r="B428" s="12"/>
      <c r="C428" s="60"/>
      <c r="D428" s="60"/>
    </row>
    <row r="429">
      <c r="A429" s="12"/>
      <c r="B429" s="12"/>
      <c r="C429" s="60"/>
      <c r="D429" s="60"/>
    </row>
    <row r="430">
      <c r="A430" s="12"/>
      <c r="B430" s="12"/>
      <c r="C430" s="60"/>
      <c r="D430" s="60"/>
    </row>
    <row r="431">
      <c r="A431" s="12"/>
      <c r="B431" s="12"/>
      <c r="C431" s="60"/>
      <c r="D431" s="60"/>
    </row>
    <row r="432">
      <c r="A432" s="12"/>
      <c r="B432" s="12"/>
      <c r="C432" s="60"/>
      <c r="D432" s="60"/>
    </row>
    <row r="433">
      <c r="A433" s="12"/>
      <c r="B433" s="12"/>
      <c r="C433" s="60"/>
      <c r="D433" s="60"/>
    </row>
    <row r="434">
      <c r="A434" s="12"/>
      <c r="B434" s="12"/>
      <c r="C434" s="60"/>
      <c r="D434" s="60"/>
    </row>
    <row r="435">
      <c r="A435" s="12"/>
      <c r="B435" s="12"/>
      <c r="C435" s="60"/>
      <c r="D435" s="60"/>
    </row>
    <row r="436">
      <c r="A436" s="12"/>
      <c r="B436" s="12"/>
      <c r="C436" s="60"/>
      <c r="D436" s="60"/>
    </row>
    <row r="437">
      <c r="A437" s="12"/>
      <c r="B437" s="12"/>
      <c r="C437" s="60"/>
      <c r="D437" s="60"/>
    </row>
    <row r="438">
      <c r="A438" s="12"/>
      <c r="B438" s="12"/>
      <c r="C438" s="60"/>
      <c r="D438" s="60"/>
    </row>
    <row r="439">
      <c r="A439" s="12"/>
      <c r="B439" s="12"/>
      <c r="C439" s="60"/>
      <c r="D439" s="60"/>
    </row>
    <row r="440">
      <c r="A440" s="12"/>
      <c r="B440" s="12"/>
      <c r="C440" s="60"/>
      <c r="D440" s="60"/>
    </row>
    <row r="441">
      <c r="A441" s="12"/>
      <c r="B441" s="12"/>
      <c r="C441" s="60"/>
      <c r="D441" s="60"/>
    </row>
    <row r="442">
      <c r="A442" s="12"/>
      <c r="B442" s="12"/>
      <c r="C442" s="60"/>
      <c r="D442" s="60"/>
    </row>
    <row r="443">
      <c r="A443" s="12"/>
      <c r="B443" s="12"/>
      <c r="C443" s="60"/>
      <c r="D443" s="60"/>
    </row>
    <row r="444">
      <c r="A444" s="12"/>
      <c r="B444" s="12"/>
      <c r="C444" s="60"/>
      <c r="D444" s="60"/>
    </row>
    <row r="445">
      <c r="A445" s="12"/>
      <c r="B445" s="12"/>
      <c r="C445" s="60"/>
      <c r="D445" s="60"/>
    </row>
    <row r="446">
      <c r="A446" s="12"/>
      <c r="B446" s="12"/>
      <c r="C446" s="60"/>
      <c r="D446" s="60"/>
    </row>
    <row r="447">
      <c r="A447" s="12"/>
      <c r="B447" s="12"/>
      <c r="C447" s="60"/>
      <c r="D447" s="60"/>
    </row>
    <row r="448">
      <c r="A448" s="12"/>
      <c r="B448" s="12"/>
      <c r="C448" s="60"/>
      <c r="D448" s="60"/>
    </row>
    <row r="449">
      <c r="A449" s="12"/>
      <c r="B449" s="12"/>
      <c r="C449" s="60"/>
      <c r="D449" s="60"/>
    </row>
    <row r="450">
      <c r="A450" s="12"/>
      <c r="B450" s="12"/>
      <c r="C450" s="60"/>
      <c r="D450" s="60"/>
    </row>
    <row r="451">
      <c r="A451" s="12"/>
      <c r="B451" s="12"/>
      <c r="C451" s="60"/>
      <c r="D451" s="60"/>
    </row>
    <row r="452">
      <c r="A452" s="12"/>
      <c r="B452" s="12"/>
      <c r="C452" s="60"/>
      <c r="D452" s="60"/>
    </row>
    <row r="453">
      <c r="A453" s="12"/>
      <c r="B453" s="12"/>
      <c r="C453" s="60"/>
      <c r="D453" s="60"/>
    </row>
    <row r="454">
      <c r="A454" s="12"/>
      <c r="B454" s="12"/>
      <c r="C454" s="60"/>
      <c r="D454" s="60"/>
    </row>
    <row r="455">
      <c r="A455" s="12"/>
      <c r="B455" s="12"/>
      <c r="C455" s="60"/>
      <c r="D455" s="60"/>
    </row>
    <row r="456">
      <c r="A456" s="12"/>
      <c r="B456" s="12"/>
      <c r="C456" s="60"/>
      <c r="D456" s="60"/>
    </row>
    <row r="457">
      <c r="A457" s="12"/>
      <c r="B457" s="12"/>
      <c r="C457" s="60"/>
      <c r="D457" s="60"/>
    </row>
    <row r="458">
      <c r="A458" s="12"/>
      <c r="B458" s="12"/>
      <c r="C458" s="60"/>
      <c r="D458" s="60"/>
    </row>
    <row r="459">
      <c r="A459" s="12"/>
      <c r="B459" s="12"/>
      <c r="C459" s="60"/>
      <c r="D459" s="60"/>
    </row>
    <row r="460">
      <c r="A460" s="12"/>
      <c r="B460" s="12"/>
      <c r="C460" s="60"/>
      <c r="D460" s="60"/>
    </row>
    <row r="461">
      <c r="A461" s="12"/>
      <c r="B461" s="12"/>
      <c r="C461" s="60"/>
      <c r="D461" s="60"/>
    </row>
    <row r="462">
      <c r="A462" s="12"/>
      <c r="B462" s="12"/>
      <c r="C462" s="60"/>
      <c r="D462" s="60"/>
    </row>
    <row r="463">
      <c r="A463" s="12"/>
      <c r="B463" s="12"/>
      <c r="C463" s="60"/>
      <c r="D463" s="60"/>
    </row>
    <row r="464">
      <c r="A464" s="12"/>
      <c r="B464" s="12"/>
      <c r="C464" s="60"/>
      <c r="D464" s="60"/>
    </row>
    <row r="465">
      <c r="A465" s="12"/>
      <c r="B465" s="12"/>
      <c r="C465" s="60"/>
      <c r="D465" s="60"/>
    </row>
    <row r="466">
      <c r="A466" s="12"/>
      <c r="B466" s="12"/>
      <c r="C466" s="60"/>
      <c r="D466" s="60"/>
    </row>
    <row r="467">
      <c r="A467" s="12"/>
      <c r="B467" s="12"/>
      <c r="C467" s="60"/>
      <c r="D467" s="60"/>
    </row>
    <row r="468">
      <c r="A468" s="12"/>
      <c r="B468" s="12"/>
      <c r="C468" s="60"/>
      <c r="D468" s="60"/>
    </row>
    <row r="469">
      <c r="A469" s="12"/>
      <c r="B469" s="12"/>
      <c r="C469" s="60"/>
      <c r="D469" s="60"/>
    </row>
    <row r="470">
      <c r="A470" s="12"/>
      <c r="B470" s="12"/>
      <c r="C470" s="60"/>
      <c r="D470" s="60"/>
    </row>
    <row r="471">
      <c r="A471" s="12"/>
      <c r="B471" s="12"/>
      <c r="C471" s="60"/>
      <c r="D471" s="60"/>
    </row>
    <row r="472">
      <c r="A472" s="12"/>
      <c r="B472" s="12"/>
      <c r="C472" s="60"/>
      <c r="D472" s="60"/>
    </row>
    <row r="473">
      <c r="A473" s="12"/>
      <c r="B473" s="12"/>
      <c r="C473" s="60"/>
      <c r="D473" s="60"/>
    </row>
    <row r="474">
      <c r="A474" s="12"/>
      <c r="B474" s="12"/>
      <c r="C474" s="60"/>
      <c r="D474" s="60"/>
    </row>
    <row r="475">
      <c r="A475" s="12"/>
      <c r="B475" s="12"/>
      <c r="C475" s="60"/>
      <c r="D475" s="60"/>
    </row>
    <row r="476">
      <c r="A476" s="12"/>
      <c r="B476" s="12"/>
      <c r="C476" s="60"/>
      <c r="D476" s="60"/>
    </row>
    <row r="477">
      <c r="A477" s="12"/>
      <c r="B477" s="12"/>
      <c r="C477" s="60"/>
      <c r="D477" s="60"/>
    </row>
    <row r="478">
      <c r="A478" s="12"/>
      <c r="B478" s="12"/>
      <c r="C478" s="60"/>
      <c r="D478" s="60"/>
    </row>
    <row r="479">
      <c r="A479" s="12"/>
      <c r="B479" s="12"/>
      <c r="C479" s="60"/>
      <c r="D479" s="60"/>
    </row>
    <row r="480">
      <c r="A480" s="12"/>
      <c r="B480" s="12"/>
      <c r="C480" s="60"/>
      <c r="D480" s="60"/>
    </row>
    <row r="481">
      <c r="A481" s="12"/>
      <c r="B481" s="12"/>
      <c r="C481" s="60"/>
      <c r="D481" s="60"/>
    </row>
    <row r="482">
      <c r="A482" s="12"/>
      <c r="B482" s="12"/>
      <c r="C482" s="60"/>
      <c r="D482" s="60"/>
    </row>
    <row r="483">
      <c r="A483" s="12"/>
      <c r="B483" s="12"/>
      <c r="C483" s="60"/>
      <c r="D483" s="60"/>
    </row>
    <row r="484">
      <c r="A484" s="12"/>
      <c r="B484" s="12"/>
      <c r="C484" s="60"/>
      <c r="D484" s="60"/>
    </row>
    <row r="485">
      <c r="A485" s="12"/>
      <c r="B485" s="12"/>
      <c r="C485" s="60"/>
      <c r="D485" s="60"/>
    </row>
    <row r="486">
      <c r="A486" s="12"/>
      <c r="B486" s="12"/>
      <c r="C486" s="60"/>
      <c r="D486" s="60"/>
    </row>
    <row r="487">
      <c r="A487" s="12"/>
      <c r="B487" s="12"/>
      <c r="C487" s="60"/>
      <c r="D487" s="60"/>
    </row>
    <row r="488">
      <c r="A488" s="12"/>
      <c r="B488" s="12"/>
      <c r="C488" s="60"/>
      <c r="D488" s="60"/>
    </row>
    <row r="489">
      <c r="A489" s="12"/>
      <c r="B489" s="12"/>
      <c r="C489" s="60"/>
      <c r="D489" s="60"/>
    </row>
    <row r="490">
      <c r="A490" s="12"/>
      <c r="B490" s="12"/>
      <c r="C490" s="60"/>
      <c r="D490" s="60"/>
    </row>
    <row r="491">
      <c r="A491" s="12"/>
      <c r="B491" s="12"/>
      <c r="C491" s="60"/>
      <c r="D491" s="60"/>
    </row>
    <row r="492">
      <c r="A492" s="12"/>
      <c r="B492" s="12"/>
      <c r="C492" s="60"/>
      <c r="D492" s="60"/>
    </row>
    <row r="493">
      <c r="A493" s="12"/>
      <c r="B493" s="12"/>
      <c r="C493" s="60"/>
      <c r="D493" s="60"/>
    </row>
    <row r="494">
      <c r="A494" s="12"/>
      <c r="B494" s="12"/>
      <c r="C494" s="60"/>
      <c r="D494" s="60"/>
    </row>
    <row r="495">
      <c r="A495" s="12"/>
      <c r="B495" s="12"/>
      <c r="C495" s="60"/>
      <c r="D495" s="60"/>
    </row>
    <row r="496">
      <c r="A496" s="12"/>
      <c r="B496" s="12"/>
      <c r="C496" s="60"/>
      <c r="D496" s="60"/>
    </row>
    <row r="497">
      <c r="A497" s="12"/>
      <c r="B497" s="12"/>
      <c r="C497" s="60"/>
      <c r="D497" s="60"/>
    </row>
    <row r="498">
      <c r="A498" s="12"/>
      <c r="B498" s="12"/>
      <c r="C498" s="60"/>
      <c r="D498" s="60"/>
    </row>
    <row r="499">
      <c r="A499" s="12"/>
      <c r="B499" s="12"/>
      <c r="C499" s="60"/>
      <c r="D499" s="60"/>
    </row>
    <row r="500">
      <c r="A500" s="12"/>
      <c r="B500" s="12"/>
      <c r="C500" s="60"/>
      <c r="D500" s="60"/>
    </row>
    <row r="501">
      <c r="A501" s="12"/>
      <c r="B501" s="12"/>
      <c r="C501" s="60"/>
      <c r="D501" s="60"/>
    </row>
    <row r="502">
      <c r="A502" s="12"/>
      <c r="B502" s="12"/>
      <c r="C502" s="60"/>
      <c r="D502" s="60"/>
    </row>
    <row r="503">
      <c r="A503" s="12"/>
      <c r="B503" s="12"/>
      <c r="C503" s="60"/>
      <c r="D503" s="60"/>
    </row>
    <row r="504">
      <c r="A504" s="12"/>
      <c r="B504" s="12"/>
      <c r="C504" s="60"/>
      <c r="D504" s="60"/>
    </row>
    <row r="505">
      <c r="A505" s="12"/>
      <c r="B505" s="12"/>
      <c r="C505" s="60"/>
      <c r="D505" s="60"/>
    </row>
    <row r="506">
      <c r="A506" s="12"/>
      <c r="B506" s="12"/>
      <c r="C506" s="60"/>
      <c r="D506" s="60"/>
    </row>
    <row r="507">
      <c r="A507" s="12"/>
      <c r="B507" s="12"/>
      <c r="C507" s="60"/>
      <c r="D507" s="60"/>
    </row>
    <row r="508">
      <c r="A508" s="12"/>
      <c r="B508" s="12"/>
      <c r="C508" s="60"/>
      <c r="D508" s="60"/>
    </row>
    <row r="509">
      <c r="A509" s="12"/>
      <c r="B509" s="12"/>
      <c r="C509" s="60"/>
      <c r="D509" s="60"/>
    </row>
    <row r="510">
      <c r="A510" s="12"/>
      <c r="B510" s="12"/>
      <c r="C510" s="60"/>
      <c r="D510" s="60"/>
    </row>
    <row r="511">
      <c r="A511" s="12"/>
      <c r="B511" s="12"/>
      <c r="C511" s="60"/>
      <c r="D511" s="60"/>
    </row>
    <row r="512">
      <c r="A512" s="12"/>
      <c r="B512" s="12"/>
      <c r="C512" s="60"/>
      <c r="D512" s="60"/>
    </row>
    <row r="513">
      <c r="A513" s="12"/>
      <c r="B513" s="12"/>
      <c r="C513" s="60"/>
      <c r="D513" s="60"/>
    </row>
    <row r="514">
      <c r="A514" s="12"/>
      <c r="B514" s="12"/>
      <c r="C514" s="60"/>
      <c r="D514" s="60"/>
    </row>
    <row r="515">
      <c r="A515" s="12"/>
      <c r="B515" s="12"/>
      <c r="C515" s="60"/>
      <c r="D515" s="60"/>
    </row>
    <row r="516">
      <c r="A516" s="12"/>
      <c r="B516" s="12"/>
      <c r="C516" s="60"/>
      <c r="D516" s="60"/>
    </row>
    <row r="517">
      <c r="A517" s="12"/>
      <c r="B517" s="12"/>
      <c r="C517" s="60"/>
      <c r="D517" s="60"/>
    </row>
    <row r="518">
      <c r="A518" s="12"/>
      <c r="B518" s="12"/>
      <c r="C518" s="60"/>
      <c r="D518" s="60"/>
    </row>
    <row r="519">
      <c r="A519" s="12"/>
      <c r="B519" s="12"/>
      <c r="C519" s="60"/>
      <c r="D519" s="60"/>
    </row>
    <row r="520">
      <c r="A520" s="12"/>
      <c r="B520" s="12"/>
      <c r="C520" s="60"/>
      <c r="D520" s="60"/>
    </row>
    <row r="521">
      <c r="A521" s="12"/>
      <c r="B521" s="12"/>
      <c r="C521" s="60"/>
      <c r="D521" s="60"/>
    </row>
    <row r="522">
      <c r="A522" s="12"/>
      <c r="B522" s="12"/>
      <c r="C522" s="60"/>
      <c r="D522" s="60"/>
    </row>
    <row r="523">
      <c r="A523" s="12"/>
      <c r="B523" s="12"/>
      <c r="C523" s="60"/>
      <c r="D523" s="60"/>
    </row>
    <row r="524">
      <c r="A524" s="12"/>
      <c r="B524" s="12"/>
      <c r="C524" s="60"/>
      <c r="D524" s="60"/>
    </row>
    <row r="525">
      <c r="A525" s="12"/>
      <c r="B525" s="12"/>
      <c r="C525" s="60"/>
      <c r="D525" s="60"/>
    </row>
    <row r="526">
      <c r="A526" s="12"/>
      <c r="B526" s="12"/>
      <c r="C526" s="60"/>
      <c r="D526" s="60"/>
    </row>
    <row r="527">
      <c r="A527" s="12"/>
      <c r="B527" s="12"/>
      <c r="C527" s="60"/>
      <c r="D527" s="60"/>
    </row>
    <row r="528">
      <c r="A528" s="12"/>
      <c r="B528" s="12"/>
      <c r="C528" s="60"/>
      <c r="D528" s="60"/>
    </row>
    <row r="529">
      <c r="A529" s="12"/>
      <c r="B529" s="12"/>
      <c r="C529" s="60"/>
      <c r="D529" s="60"/>
    </row>
    <row r="530">
      <c r="A530" s="12"/>
      <c r="B530" s="12"/>
      <c r="C530" s="60"/>
      <c r="D530" s="60"/>
    </row>
    <row r="531">
      <c r="A531" s="12"/>
      <c r="B531" s="12"/>
      <c r="C531" s="60"/>
      <c r="D531" s="60"/>
    </row>
    <row r="532">
      <c r="A532" s="12"/>
      <c r="B532" s="12"/>
      <c r="C532" s="60"/>
      <c r="D532" s="60"/>
    </row>
    <row r="533">
      <c r="A533" s="12"/>
      <c r="B533" s="12"/>
      <c r="C533" s="60"/>
      <c r="D533" s="60"/>
    </row>
    <row r="534">
      <c r="A534" s="12"/>
      <c r="B534" s="12"/>
      <c r="C534" s="60"/>
      <c r="D534" s="60"/>
    </row>
    <row r="535">
      <c r="A535" s="12"/>
      <c r="B535" s="12"/>
      <c r="C535" s="60"/>
      <c r="D535" s="60"/>
    </row>
    <row r="536">
      <c r="A536" s="12"/>
      <c r="B536" s="12"/>
      <c r="C536" s="60"/>
      <c r="D536" s="60"/>
    </row>
    <row r="537">
      <c r="A537" s="12"/>
      <c r="B537" s="12"/>
      <c r="C537" s="60"/>
      <c r="D537" s="60"/>
    </row>
    <row r="538">
      <c r="A538" s="12"/>
      <c r="B538" s="12"/>
      <c r="C538" s="60"/>
      <c r="D538" s="60"/>
    </row>
    <row r="539">
      <c r="A539" s="12"/>
      <c r="B539" s="12"/>
      <c r="C539" s="60"/>
      <c r="D539" s="60"/>
    </row>
    <row r="540">
      <c r="A540" s="12"/>
      <c r="B540" s="12"/>
      <c r="C540" s="60"/>
      <c r="D540" s="60"/>
    </row>
    <row r="541">
      <c r="A541" s="12"/>
      <c r="B541" s="12"/>
      <c r="C541" s="60"/>
      <c r="D541" s="60"/>
    </row>
    <row r="542">
      <c r="A542" s="12"/>
      <c r="B542" s="12"/>
      <c r="C542" s="60"/>
      <c r="D542" s="60"/>
    </row>
    <row r="543">
      <c r="A543" s="12"/>
      <c r="B543" s="12"/>
      <c r="C543" s="60"/>
      <c r="D543" s="60"/>
    </row>
    <row r="544">
      <c r="A544" s="12"/>
      <c r="B544" s="12"/>
      <c r="C544" s="60"/>
      <c r="D544" s="60"/>
    </row>
    <row r="545">
      <c r="A545" s="12"/>
      <c r="B545" s="12"/>
      <c r="C545" s="60"/>
      <c r="D545" s="60"/>
    </row>
    <row r="546">
      <c r="A546" s="12"/>
      <c r="B546" s="12"/>
      <c r="C546" s="60"/>
      <c r="D546" s="60"/>
    </row>
    <row r="547">
      <c r="A547" s="12"/>
      <c r="B547" s="12"/>
      <c r="C547" s="60"/>
      <c r="D547" s="60"/>
    </row>
    <row r="548">
      <c r="A548" s="12"/>
      <c r="B548" s="12"/>
      <c r="C548" s="60"/>
      <c r="D548" s="60"/>
    </row>
    <row r="549">
      <c r="A549" s="12"/>
      <c r="B549" s="12"/>
      <c r="C549" s="60"/>
      <c r="D549" s="60"/>
    </row>
    <row r="550">
      <c r="A550" s="12"/>
      <c r="B550" s="12"/>
      <c r="C550" s="60"/>
      <c r="D550" s="60"/>
    </row>
    <row r="551">
      <c r="A551" s="12"/>
      <c r="B551" s="12"/>
      <c r="C551" s="60"/>
      <c r="D551" s="60"/>
    </row>
    <row r="552">
      <c r="A552" s="12"/>
      <c r="B552" s="12"/>
      <c r="C552" s="60"/>
      <c r="D552" s="60"/>
    </row>
    <row r="553">
      <c r="A553" s="12"/>
      <c r="B553" s="12"/>
      <c r="C553" s="60"/>
      <c r="D553" s="60"/>
    </row>
    <row r="554">
      <c r="A554" s="12"/>
      <c r="B554" s="12"/>
      <c r="C554" s="60"/>
      <c r="D554" s="60"/>
    </row>
    <row r="555">
      <c r="A555" s="12"/>
      <c r="B555" s="12"/>
      <c r="C555" s="60"/>
      <c r="D555" s="60"/>
    </row>
    <row r="556">
      <c r="A556" s="12"/>
      <c r="B556" s="12"/>
      <c r="C556" s="60"/>
      <c r="D556" s="60"/>
    </row>
    <row r="557">
      <c r="A557" s="12"/>
      <c r="B557" s="12"/>
      <c r="C557" s="60"/>
      <c r="D557" s="60"/>
    </row>
    <row r="558">
      <c r="A558" s="12"/>
      <c r="B558" s="12"/>
      <c r="C558" s="60"/>
      <c r="D558" s="60"/>
    </row>
    <row r="559">
      <c r="A559" s="12"/>
      <c r="B559" s="12"/>
      <c r="C559" s="60"/>
      <c r="D559" s="60"/>
    </row>
    <row r="560">
      <c r="A560" s="12"/>
      <c r="B560" s="12"/>
      <c r="C560" s="60"/>
      <c r="D560" s="60"/>
    </row>
    <row r="561">
      <c r="A561" s="12"/>
      <c r="B561" s="12"/>
      <c r="C561" s="60"/>
      <c r="D561" s="60"/>
    </row>
    <row r="562">
      <c r="A562" s="12"/>
      <c r="B562" s="12"/>
      <c r="C562" s="60"/>
      <c r="D562" s="60"/>
    </row>
    <row r="563">
      <c r="A563" s="12"/>
      <c r="B563" s="12"/>
      <c r="C563" s="60"/>
      <c r="D563" s="60"/>
    </row>
    <row r="564">
      <c r="A564" s="12"/>
      <c r="B564" s="12"/>
      <c r="C564" s="60"/>
      <c r="D564" s="60"/>
    </row>
    <row r="565">
      <c r="A565" s="12"/>
      <c r="B565" s="12"/>
      <c r="C565" s="60"/>
      <c r="D565" s="60"/>
    </row>
    <row r="566">
      <c r="A566" s="12"/>
      <c r="B566" s="12"/>
      <c r="C566" s="60"/>
      <c r="D566" s="60"/>
    </row>
    <row r="567">
      <c r="A567" s="12"/>
      <c r="B567" s="12"/>
      <c r="C567" s="60"/>
      <c r="D567" s="60"/>
    </row>
    <row r="568">
      <c r="A568" s="12"/>
      <c r="B568" s="12"/>
      <c r="C568" s="60"/>
      <c r="D568" s="60"/>
    </row>
    <row r="569">
      <c r="A569" s="12"/>
      <c r="B569" s="12"/>
      <c r="C569" s="60"/>
      <c r="D569" s="60"/>
    </row>
    <row r="570">
      <c r="A570" s="12"/>
      <c r="B570" s="12"/>
      <c r="C570" s="60"/>
      <c r="D570" s="60"/>
    </row>
    <row r="571">
      <c r="A571" s="12"/>
      <c r="B571" s="12"/>
      <c r="C571" s="60"/>
      <c r="D571" s="60"/>
    </row>
    <row r="572">
      <c r="A572" s="12"/>
      <c r="B572" s="12"/>
      <c r="C572" s="60"/>
      <c r="D572" s="60"/>
    </row>
    <row r="573">
      <c r="A573" s="12"/>
      <c r="B573" s="12"/>
      <c r="C573" s="60"/>
      <c r="D573" s="60"/>
    </row>
    <row r="574">
      <c r="A574" s="12"/>
      <c r="B574" s="12"/>
      <c r="C574" s="60"/>
      <c r="D574" s="60"/>
    </row>
    <row r="575">
      <c r="A575" s="12"/>
      <c r="B575" s="12"/>
      <c r="C575" s="60"/>
      <c r="D575" s="60"/>
    </row>
    <row r="576">
      <c r="A576" s="12"/>
      <c r="B576" s="12"/>
      <c r="C576" s="60"/>
      <c r="D576" s="60"/>
    </row>
    <row r="577">
      <c r="A577" s="12"/>
      <c r="B577" s="12"/>
      <c r="C577" s="60"/>
      <c r="D577" s="60"/>
    </row>
    <row r="578">
      <c r="A578" s="12"/>
      <c r="B578" s="12"/>
      <c r="C578" s="60"/>
      <c r="D578" s="60"/>
    </row>
    <row r="579">
      <c r="A579" s="12"/>
      <c r="B579" s="12"/>
      <c r="C579" s="60"/>
      <c r="D579" s="60"/>
    </row>
    <row r="580">
      <c r="A580" s="12"/>
      <c r="B580" s="12"/>
      <c r="C580" s="60"/>
      <c r="D580" s="60"/>
    </row>
    <row r="581">
      <c r="A581" s="12"/>
      <c r="B581" s="12"/>
      <c r="C581" s="60"/>
      <c r="D581" s="60"/>
    </row>
    <row r="582">
      <c r="A582" s="12"/>
      <c r="B582" s="12"/>
      <c r="C582" s="60"/>
      <c r="D582" s="60"/>
    </row>
    <row r="583">
      <c r="A583" s="12"/>
      <c r="B583" s="12"/>
      <c r="C583" s="60"/>
      <c r="D583" s="60"/>
    </row>
    <row r="584">
      <c r="A584" s="12"/>
      <c r="B584" s="12"/>
      <c r="C584" s="60"/>
      <c r="D584" s="60"/>
    </row>
    <row r="585">
      <c r="A585" s="12"/>
      <c r="B585" s="12"/>
      <c r="C585" s="60"/>
      <c r="D585" s="60"/>
    </row>
    <row r="586">
      <c r="A586" s="12"/>
      <c r="B586" s="12"/>
      <c r="C586" s="60"/>
      <c r="D586" s="60"/>
    </row>
    <row r="587">
      <c r="A587" s="12"/>
      <c r="B587" s="12"/>
      <c r="C587" s="60"/>
      <c r="D587" s="60"/>
    </row>
    <row r="588">
      <c r="A588" s="12"/>
      <c r="B588" s="12"/>
      <c r="C588" s="60"/>
      <c r="D588" s="60"/>
    </row>
    <row r="589">
      <c r="A589" s="12"/>
      <c r="B589" s="12"/>
      <c r="C589" s="60"/>
      <c r="D589" s="60"/>
    </row>
    <row r="590">
      <c r="A590" s="12"/>
      <c r="B590" s="12"/>
      <c r="C590" s="60"/>
      <c r="D590" s="60"/>
    </row>
    <row r="591">
      <c r="A591" s="12"/>
      <c r="B591" s="12"/>
      <c r="C591" s="60"/>
      <c r="D591" s="60"/>
    </row>
    <row r="592">
      <c r="A592" s="12"/>
      <c r="B592" s="12"/>
      <c r="C592" s="60"/>
      <c r="D592" s="60"/>
    </row>
    <row r="593">
      <c r="A593" s="12"/>
      <c r="B593" s="12"/>
      <c r="C593" s="60"/>
      <c r="D593" s="60"/>
    </row>
    <row r="594">
      <c r="A594" s="12"/>
      <c r="B594" s="12"/>
      <c r="C594" s="60"/>
      <c r="D594" s="60"/>
    </row>
    <row r="595">
      <c r="A595" s="12"/>
      <c r="B595" s="12"/>
      <c r="C595" s="60"/>
      <c r="D595" s="60"/>
    </row>
    <row r="596">
      <c r="A596" s="12"/>
      <c r="B596" s="12"/>
      <c r="C596" s="60"/>
      <c r="D596" s="60"/>
    </row>
    <row r="597">
      <c r="A597" s="12"/>
      <c r="B597" s="12"/>
      <c r="C597" s="60"/>
      <c r="D597" s="60"/>
    </row>
    <row r="598">
      <c r="A598" s="12"/>
      <c r="B598" s="12"/>
      <c r="C598" s="60"/>
      <c r="D598" s="60"/>
    </row>
    <row r="599">
      <c r="A599" s="12"/>
      <c r="B599" s="12"/>
      <c r="C599" s="60"/>
      <c r="D599" s="60"/>
    </row>
    <row r="600">
      <c r="A600" s="12"/>
      <c r="B600" s="12"/>
      <c r="C600" s="60"/>
      <c r="D600" s="60"/>
    </row>
    <row r="601">
      <c r="A601" s="12"/>
      <c r="B601" s="12"/>
      <c r="C601" s="60"/>
      <c r="D601" s="60"/>
    </row>
    <row r="602">
      <c r="A602" s="12"/>
      <c r="B602" s="12"/>
      <c r="C602" s="60"/>
      <c r="D602" s="60"/>
    </row>
    <row r="603">
      <c r="A603" s="12"/>
      <c r="B603" s="12"/>
      <c r="C603" s="60"/>
      <c r="D603" s="60"/>
    </row>
    <row r="604">
      <c r="A604" s="12"/>
      <c r="B604" s="12"/>
      <c r="C604" s="60"/>
      <c r="D604" s="60"/>
    </row>
    <row r="605">
      <c r="A605" s="12"/>
      <c r="B605" s="12"/>
      <c r="C605" s="60"/>
      <c r="D605" s="60"/>
    </row>
    <row r="606">
      <c r="A606" s="12"/>
      <c r="B606" s="12"/>
      <c r="C606" s="60"/>
      <c r="D606" s="60"/>
    </row>
    <row r="607">
      <c r="A607" s="12"/>
      <c r="B607" s="12"/>
      <c r="C607" s="60"/>
      <c r="D607" s="60"/>
    </row>
    <row r="608">
      <c r="A608" s="12"/>
      <c r="B608" s="12"/>
      <c r="C608" s="60"/>
      <c r="D608" s="60"/>
    </row>
    <row r="609">
      <c r="A609" s="12"/>
      <c r="B609" s="12"/>
      <c r="C609" s="60"/>
      <c r="D609" s="60"/>
    </row>
    <row r="610">
      <c r="A610" s="12"/>
      <c r="B610" s="12"/>
      <c r="C610" s="60"/>
      <c r="D610" s="60"/>
    </row>
    <row r="611">
      <c r="A611" s="12"/>
      <c r="B611" s="12"/>
      <c r="C611" s="60"/>
      <c r="D611" s="60"/>
    </row>
    <row r="612">
      <c r="A612" s="12"/>
      <c r="B612" s="12"/>
      <c r="C612" s="60"/>
      <c r="D612" s="60"/>
    </row>
    <row r="613">
      <c r="A613" s="12"/>
      <c r="B613" s="12"/>
      <c r="C613" s="60"/>
      <c r="D613" s="60"/>
    </row>
    <row r="614">
      <c r="A614" s="12"/>
      <c r="B614" s="12"/>
      <c r="C614" s="60"/>
      <c r="D614" s="60"/>
    </row>
    <row r="615">
      <c r="A615" s="12"/>
      <c r="B615" s="12"/>
      <c r="C615" s="60"/>
      <c r="D615" s="60"/>
    </row>
    <row r="616">
      <c r="A616" s="12"/>
      <c r="B616" s="12"/>
      <c r="C616" s="60"/>
      <c r="D616" s="60"/>
    </row>
    <row r="617">
      <c r="A617" s="12"/>
      <c r="B617" s="12"/>
      <c r="C617" s="60"/>
      <c r="D617" s="60"/>
    </row>
    <row r="618">
      <c r="A618" s="12"/>
      <c r="B618" s="12"/>
      <c r="C618" s="60"/>
      <c r="D618" s="60"/>
    </row>
    <row r="619">
      <c r="A619" s="12"/>
      <c r="B619" s="12"/>
      <c r="C619" s="60"/>
      <c r="D619" s="60"/>
    </row>
    <row r="620">
      <c r="A620" s="12"/>
      <c r="B620" s="12"/>
      <c r="C620" s="60"/>
      <c r="D620" s="60"/>
    </row>
    <row r="621">
      <c r="A621" s="12"/>
      <c r="B621" s="12"/>
      <c r="C621" s="60"/>
      <c r="D621" s="60"/>
    </row>
    <row r="622">
      <c r="A622" s="12"/>
      <c r="B622" s="12"/>
      <c r="C622" s="60"/>
      <c r="D622" s="60"/>
    </row>
    <row r="623">
      <c r="A623" s="12"/>
      <c r="B623" s="12"/>
      <c r="C623" s="60"/>
      <c r="D623" s="60"/>
    </row>
    <row r="624">
      <c r="A624" s="12"/>
      <c r="B624" s="12"/>
      <c r="C624" s="60"/>
      <c r="D624" s="60"/>
    </row>
    <row r="625">
      <c r="A625" s="12"/>
      <c r="B625" s="12"/>
      <c r="C625" s="60"/>
      <c r="D625" s="60"/>
    </row>
    <row r="626">
      <c r="A626" s="12"/>
      <c r="B626" s="12"/>
      <c r="C626" s="60"/>
      <c r="D626" s="60"/>
    </row>
    <row r="627">
      <c r="A627" s="12"/>
      <c r="B627" s="12"/>
      <c r="C627" s="60"/>
      <c r="D627" s="60"/>
    </row>
    <row r="628">
      <c r="A628" s="12"/>
      <c r="B628" s="12"/>
      <c r="C628" s="60"/>
      <c r="D628" s="60"/>
    </row>
    <row r="629">
      <c r="A629" s="12"/>
      <c r="B629" s="12"/>
      <c r="C629" s="60"/>
      <c r="D629" s="60"/>
    </row>
    <row r="630">
      <c r="A630" s="12"/>
      <c r="B630" s="12"/>
      <c r="C630" s="60"/>
      <c r="D630" s="60"/>
    </row>
    <row r="631">
      <c r="A631" s="12"/>
      <c r="B631" s="12"/>
      <c r="C631" s="60"/>
      <c r="D631" s="60"/>
    </row>
    <row r="632">
      <c r="A632" s="12"/>
      <c r="B632" s="12"/>
      <c r="C632" s="60"/>
      <c r="D632" s="60"/>
    </row>
    <row r="633">
      <c r="A633" s="12"/>
      <c r="B633" s="12"/>
      <c r="C633" s="60"/>
      <c r="D633" s="60"/>
    </row>
    <row r="634">
      <c r="A634" s="12"/>
      <c r="B634" s="12"/>
      <c r="C634" s="60"/>
      <c r="D634" s="60"/>
    </row>
    <row r="635">
      <c r="A635" s="12"/>
      <c r="B635" s="12"/>
      <c r="C635" s="60"/>
      <c r="D635" s="60"/>
    </row>
    <row r="636">
      <c r="A636" s="12"/>
      <c r="B636" s="12"/>
      <c r="C636" s="60"/>
      <c r="D636" s="60"/>
    </row>
    <row r="637">
      <c r="A637" s="12"/>
      <c r="B637" s="12"/>
      <c r="C637" s="60"/>
      <c r="D637" s="60"/>
    </row>
    <row r="638">
      <c r="A638" s="12"/>
      <c r="B638" s="12"/>
      <c r="C638" s="60"/>
      <c r="D638" s="60"/>
    </row>
    <row r="639">
      <c r="A639" s="12"/>
      <c r="B639" s="12"/>
      <c r="C639" s="60"/>
      <c r="D639" s="60"/>
    </row>
    <row r="640">
      <c r="A640" s="12"/>
      <c r="B640" s="12"/>
      <c r="C640" s="60"/>
      <c r="D640" s="60"/>
    </row>
    <row r="641">
      <c r="A641" s="12"/>
      <c r="B641" s="12"/>
      <c r="C641" s="60"/>
      <c r="D641" s="60"/>
    </row>
    <row r="642">
      <c r="A642" s="12"/>
      <c r="B642" s="12"/>
      <c r="C642" s="60"/>
      <c r="D642" s="60"/>
    </row>
    <row r="643">
      <c r="A643" s="12"/>
      <c r="B643" s="12"/>
      <c r="C643" s="60"/>
      <c r="D643" s="60"/>
    </row>
    <row r="644">
      <c r="A644" s="12"/>
      <c r="B644" s="12"/>
      <c r="C644" s="60"/>
      <c r="D644" s="60"/>
    </row>
    <row r="645">
      <c r="A645" s="12"/>
      <c r="B645" s="12"/>
      <c r="C645" s="60"/>
      <c r="D645" s="60"/>
    </row>
    <row r="646">
      <c r="A646" s="12"/>
      <c r="B646" s="12"/>
      <c r="C646" s="60"/>
      <c r="D646" s="60"/>
    </row>
    <row r="647">
      <c r="A647" s="12"/>
      <c r="B647" s="12"/>
      <c r="C647" s="60"/>
      <c r="D647" s="60"/>
    </row>
    <row r="648">
      <c r="A648" s="12"/>
      <c r="B648" s="12"/>
      <c r="C648" s="60"/>
      <c r="D648" s="60"/>
    </row>
    <row r="649">
      <c r="A649" s="12"/>
      <c r="B649" s="12"/>
      <c r="C649" s="60"/>
      <c r="D649" s="60"/>
    </row>
    <row r="650">
      <c r="A650" s="12"/>
      <c r="B650" s="12"/>
      <c r="C650" s="60"/>
      <c r="D650" s="60"/>
    </row>
    <row r="651">
      <c r="A651" s="12"/>
      <c r="B651" s="12"/>
      <c r="C651" s="60"/>
      <c r="D651" s="60"/>
    </row>
    <row r="652">
      <c r="A652" s="12"/>
      <c r="B652" s="12"/>
      <c r="C652" s="60"/>
      <c r="D652" s="60"/>
    </row>
    <row r="653">
      <c r="A653" s="12"/>
      <c r="B653" s="12"/>
      <c r="C653" s="60"/>
      <c r="D653" s="60"/>
    </row>
    <row r="654">
      <c r="A654" s="12"/>
      <c r="B654" s="12"/>
      <c r="C654" s="60"/>
      <c r="D654" s="60"/>
    </row>
    <row r="655">
      <c r="A655" s="12"/>
      <c r="B655" s="12"/>
      <c r="C655" s="60"/>
      <c r="D655" s="60"/>
    </row>
    <row r="656">
      <c r="A656" s="12"/>
      <c r="B656" s="12"/>
      <c r="C656" s="60"/>
      <c r="D656" s="60"/>
    </row>
    <row r="657">
      <c r="A657" s="12"/>
      <c r="B657" s="12"/>
      <c r="C657" s="60"/>
      <c r="D657" s="60"/>
    </row>
    <row r="658">
      <c r="A658" s="12"/>
      <c r="B658" s="12"/>
      <c r="C658" s="60"/>
      <c r="D658" s="60"/>
    </row>
    <row r="659">
      <c r="A659" s="12"/>
      <c r="B659" s="12"/>
      <c r="C659" s="60"/>
      <c r="D659" s="60"/>
    </row>
    <row r="660">
      <c r="A660" s="12"/>
      <c r="B660" s="12"/>
      <c r="C660" s="60"/>
      <c r="D660" s="60"/>
    </row>
    <row r="661">
      <c r="A661" s="12"/>
      <c r="B661" s="12"/>
      <c r="C661" s="60"/>
      <c r="D661" s="60"/>
    </row>
    <row r="662">
      <c r="A662" s="12"/>
      <c r="B662" s="12"/>
      <c r="C662" s="60"/>
      <c r="D662" s="60"/>
    </row>
    <row r="663">
      <c r="A663" s="12"/>
      <c r="B663" s="12"/>
      <c r="C663" s="60"/>
      <c r="D663" s="60"/>
    </row>
    <row r="664">
      <c r="A664" s="12"/>
      <c r="B664" s="12"/>
      <c r="C664" s="60"/>
      <c r="D664" s="60"/>
    </row>
    <row r="665">
      <c r="A665" s="12"/>
      <c r="B665" s="12"/>
      <c r="C665" s="60"/>
      <c r="D665" s="60"/>
    </row>
    <row r="666">
      <c r="A666" s="12"/>
      <c r="B666" s="12"/>
      <c r="C666" s="60"/>
      <c r="D666" s="60"/>
    </row>
    <row r="667">
      <c r="A667" s="12"/>
      <c r="B667" s="12"/>
      <c r="C667" s="60"/>
      <c r="D667" s="60"/>
    </row>
    <row r="668">
      <c r="A668" s="12"/>
      <c r="B668" s="12"/>
      <c r="C668" s="60"/>
      <c r="D668" s="60"/>
    </row>
    <row r="669">
      <c r="A669" s="12"/>
      <c r="B669" s="12"/>
      <c r="C669" s="60"/>
      <c r="D669" s="60"/>
    </row>
    <row r="670">
      <c r="A670" s="12"/>
      <c r="B670" s="12"/>
      <c r="C670" s="60"/>
      <c r="D670" s="60"/>
    </row>
    <row r="671">
      <c r="A671" s="12"/>
      <c r="B671" s="12"/>
      <c r="C671" s="60"/>
      <c r="D671" s="60"/>
    </row>
    <row r="672">
      <c r="A672" s="12"/>
      <c r="B672" s="12"/>
      <c r="C672" s="60"/>
      <c r="D672" s="60"/>
    </row>
    <row r="673">
      <c r="A673" s="12"/>
      <c r="B673" s="12"/>
      <c r="C673" s="60"/>
      <c r="D673" s="60"/>
    </row>
    <row r="674">
      <c r="A674" s="12"/>
      <c r="B674" s="12"/>
      <c r="C674" s="60"/>
      <c r="D674" s="60"/>
    </row>
    <row r="675">
      <c r="A675" s="12"/>
      <c r="B675" s="12"/>
      <c r="C675" s="60"/>
      <c r="D675" s="60"/>
    </row>
    <row r="676">
      <c r="A676" s="12"/>
      <c r="B676" s="12"/>
      <c r="C676" s="60"/>
      <c r="D676" s="60"/>
    </row>
    <row r="677">
      <c r="A677" s="12"/>
      <c r="B677" s="12"/>
      <c r="C677" s="60"/>
      <c r="D677" s="60"/>
    </row>
    <row r="678">
      <c r="A678" s="12"/>
      <c r="B678" s="12"/>
      <c r="C678" s="60"/>
      <c r="D678" s="60"/>
    </row>
    <row r="679">
      <c r="A679" s="12"/>
      <c r="B679" s="12"/>
      <c r="C679" s="60"/>
      <c r="D679" s="60"/>
    </row>
    <row r="680">
      <c r="A680" s="12"/>
      <c r="B680" s="12"/>
      <c r="C680" s="60"/>
      <c r="D680" s="60"/>
    </row>
    <row r="681">
      <c r="A681" s="12"/>
      <c r="B681" s="12"/>
      <c r="C681" s="60"/>
      <c r="D681" s="60"/>
    </row>
    <row r="682">
      <c r="A682" s="12"/>
      <c r="B682" s="12"/>
      <c r="C682" s="60"/>
      <c r="D682" s="60"/>
    </row>
    <row r="683">
      <c r="A683" s="12"/>
      <c r="B683" s="12"/>
      <c r="C683" s="60"/>
      <c r="D683" s="60"/>
    </row>
    <row r="684">
      <c r="A684" s="12"/>
      <c r="B684" s="12"/>
      <c r="C684" s="60"/>
      <c r="D684" s="60"/>
    </row>
    <row r="685">
      <c r="A685" s="12"/>
      <c r="B685" s="12"/>
      <c r="C685" s="60"/>
      <c r="D685" s="60"/>
    </row>
    <row r="686">
      <c r="A686" s="12"/>
      <c r="B686" s="12"/>
      <c r="C686" s="60"/>
      <c r="D686" s="60"/>
    </row>
    <row r="687">
      <c r="A687" s="12"/>
      <c r="B687" s="12"/>
      <c r="C687" s="60"/>
      <c r="D687" s="60"/>
    </row>
    <row r="688">
      <c r="A688" s="12"/>
      <c r="B688" s="12"/>
      <c r="C688" s="60"/>
      <c r="D688" s="60"/>
    </row>
    <row r="689">
      <c r="A689" s="12"/>
      <c r="B689" s="12"/>
      <c r="C689" s="60"/>
      <c r="D689" s="60"/>
    </row>
    <row r="690">
      <c r="A690" s="12"/>
      <c r="B690" s="12"/>
      <c r="C690" s="60"/>
      <c r="D690" s="60"/>
    </row>
    <row r="691">
      <c r="A691" s="12"/>
      <c r="B691" s="12"/>
      <c r="C691" s="60"/>
      <c r="D691" s="60"/>
    </row>
    <row r="692">
      <c r="A692" s="12"/>
      <c r="B692" s="12"/>
      <c r="C692" s="60"/>
      <c r="D692" s="60"/>
    </row>
    <row r="693">
      <c r="A693" s="12"/>
      <c r="B693" s="12"/>
      <c r="C693" s="60"/>
      <c r="D693" s="60"/>
    </row>
    <row r="694">
      <c r="A694" s="12"/>
      <c r="B694" s="12"/>
      <c r="C694" s="60"/>
      <c r="D694" s="60"/>
    </row>
    <row r="695">
      <c r="A695" s="12"/>
      <c r="B695" s="12"/>
      <c r="C695" s="60"/>
      <c r="D695" s="60"/>
    </row>
    <row r="696">
      <c r="A696" s="12"/>
      <c r="B696" s="12"/>
      <c r="C696" s="60"/>
      <c r="D696" s="60"/>
    </row>
    <row r="697">
      <c r="A697" s="12"/>
      <c r="B697" s="12"/>
      <c r="C697" s="60"/>
      <c r="D697" s="60"/>
    </row>
    <row r="698">
      <c r="A698" s="12"/>
      <c r="B698" s="12"/>
      <c r="C698" s="60"/>
      <c r="D698" s="60"/>
    </row>
    <row r="699">
      <c r="A699" s="12"/>
      <c r="B699" s="12"/>
      <c r="C699" s="60"/>
      <c r="D699" s="60"/>
    </row>
    <row r="700">
      <c r="A700" s="12"/>
      <c r="B700" s="12"/>
      <c r="C700" s="60"/>
      <c r="D700" s="60"/>
    </row>
    <row r="701">
      <c r="A701" s="12"/>
      <c r="B701" s="12"/>
      <c r="C701" s="60"/>
      <c r="D701" s="60"/>
    </row>
    <row r="702">
      <c r="A702" s="12"/>
      <c r="B702" s="12"/>
      <c r="C702" s="60"/>
      <c r="D702" s="60"/>
    </row>
    <row r="703">
      <c r="A703" s="12"/>
      <c r="B703" s="12"/>
      <c r="C703" s="60"/>
      <c r="D703" s="60"/>
    </row>
    <row r="704">
      <c r="A704" s="12"/>
      <c r="B704" s="12"/>
      <c r="C704" s="60"/>
      <c r="D704" s="60"/>
    </row>
    <row r="705">
      <c r="A705" s="12"/>
      <c r="B705" s="12"/>
      <c r="C705" s="60"/>
      <c r="D705" s="60"/>
    </row>
    <row r="706">
      <c r="A706" s="12"/>
      <c r="B706" s="12"/>
      <c r="C706" s="60"/>
      <c r="D706" s="60"/>
    </row>
    <row r="707">
      <c r="A707" s="12"/>
      <c r="B707" s="12"/>
      <c r="C707" s="60"/>
      <c r="D707" s="60"/>
    </row>
    <row r="708">
      <c r="A708" s="12"/>
      <c r="B708" s="12"/>
      <c r="C708" s="60"/>
      <c r="D708" s="60"/>
    </row>
    <row r="709">
      <c r="A709" s="12"/>
      <c r="B709" s="12"/>
      <c r="C709" s="60"/>
      <c r="D709" s="60"/>
    </row>
    <row r="710">
      <c r="A710" s="12"/>
      <c r="B710" s="12"/>
      <c r="C710" s="60"/>
      <c r="D710" s="60"/>
    </row>
    <row r="711">
      <c r="A711" s="12"/>
      <c r="B711" s="12"/>
      <c r="C711" s="60"/>
      <c r="D711" s="60"/>
    </row>
    <row r="712">
      <c r="A712" s="12"/>
      <c r="B712" s="12"/>
      <c r="C712" s="60"/>
      <c r="D712" s="60"/>
    </row>
    <row r="713">
      <c r="A713" s="12"/>
      <c r="B713" s="12"/>
      <c r="C713" s="60"/>
      <c r="D713" s="60"/>
    </row>
    <row r="714">
      <c r="A714" s="12"/>
      <c r="B714" s="12"/>
      <c r="C714" s="60"/>
      <c r="D714" s="60"/>
    </row>
    <row r="715">
      <c r="A715" s="12"/>
      <c r="B715" s="12"/>
      <c r="C715" s="60"/>
      <c r="D715" s="60"/>
    </row>
    <row r="716">
      <c r="A716" s="12"/>
      <c r="B716" s="12"/>
      <c r="C716" s="60"/>
      <c r="D716" s="60"/>
    </row>
    <row r="717">
      <c r="A717" s="12"/>
      <c r="B717" s="12"/>
      <c r="C717" s="60"/>
      <c r="D717" s="60"/>
    </row>
    <row r="718">
      <c r="A718" s="12"/>
      <c r="B718" s="12"/>
      <c r="C718" s="60"/>
      <c r="D718" s="60"/>
    </row>
    <row r="719">
      <c r="A719" s="12"/>
      <c r="B719" s="12"/>
      <c r="C719" s="60"/>
      <c r="D719" s="60"/>
    </row>
    <row r="720">
      <c r="A720" s="12"/>
      <c r="B720" s="12"/>
      <c r="C720" s="60"/>
      <c r="D720" s="60"/>
    </row>
    <row r="721">
      <c r="A721" s="12"/>
      <c r="B721" s="12"/>
      <c r="C721" s="60"/>
      <c r="D721" s="60"/>
    </row>
    <row r="722">
      <c r="A722" s="12"/>
      <c r="B722" s="12"/>
      <c r="C722" s="60"/>
      <c r="D722" s="60"/>
    </row>
    <row r="723">
      <c r="A723" s="12"/>
      <c r="B723" s="12"/>
      <c r="C723" s="60"/>
      <c r="D723" s="60"/>
    </row>
    <row r="724">
      <c r="A724" s="12"/>
      <c r="B724" s="12"/>
      <c r="C724" s="60"/>
      <c r="D724" s="60"/>
    </row>
    <row r="725">
      <c r="A725" s="12"/>
      <c r="B725" s="12"/>
      <c r="C725" s="60"/>
      <c r="D725" s="60"/>
    </row>
    <row r="726">
      <c r="A726" s="12"/>
      <c r="B726" s="12"/>
      <c r="C726" s="60"/>
      <c r="D726" s="60"/>
    </row>
    <row r="727">
      <c r="A727" s="12"/>
      <c r="B727" s="12"/>
      <c r="C727" s="60"/>
      <c r="D727" s="60"/>
    </row>
    <row r="728">
      <c r="A728" s="12"/>
      <c r="B728" s="12"/>
      <c r="C728" s="60"/>
      <c r="D728" s="60"/>
    </row>
    <row r="729">
      <c r="A729" s="12"/>
      <c r="B729" s="12"/>
      <c r="C729" s="60"/>
      <c r="D729" s="60"/>
    </row>
    <row r="730">
      <c r="A730" s="12"/>
      <c r="B730" s="12"/>
      <c r="C730" s="60"/>
      <c r="D730" s="60"/>
    </row>
    <row r="731">
      <c r="A731" s="12"/>
      <c r="B731" s="12"/>
      <c r="C731" s="60"/>
      <c r="D731" s="60"/>
    </row>
    <row r="732">
      <c r="A732" s="12"/>
      <c r="B732" s="12"/>
      <c r="C732" s="60"/>
      <c r="D732" s="60"/>
    </row>
    <row r="733">
      <c r="A733" s="12"/>
      <c r="B733" s="12"/>
      <c r="C733" s="60"/>
      <c r="D733" s="60"/>
    </row>
    <row r="734">
      <c r="A734" s="12"/>
      <c r="B734" s="12"/>
      <c r="C734" s="60"/>
      <c r="D734" s="60"/>
    </row>
    <row r="735">
      <c r="A735" s="12"/>
      <c r="B735" s="12"/>
      <c r="C735" s="60"/>
      <c r="D735" s="60"/>
    </row>
    <row r="736">
      <c r="A736" s="12"/>
      <c r="B736" s="12"/>
      <c r="C736" s="60"/>
      <c r="D736" s="60"/>
    </row>
    <row r="737">
      <c r="A737" s="12"/>
      <c r="B737" s="12"/>
      <c r="C737" s="60"/>
      <c r="D737" s="60"/>
    </row>
    <row r="738">
      <c r="A738" s="12"/>
      <c r="B738" s="12"/>
      <c r="C738" s="60"/>
      <c r="D738" s="60"/>
    </row>
    <row r="739">
      <c r="A739" s="12"/>
      <c r="B739" s="12"/>
      <c r="C739" s="60"/>
      <c r="D739" s="60"/>
    </row>
    <row r="740">
      <c r="A740" s="12"/>
      <c r="B740" s="12"/>
      <c r="C740" s="60"/>
      <c r="D740" s="60"/>
    </row>
    <row r="741">
      <c r="A741" s="12"/>
      <c r="B741" s="12"/>
      <c r="C741" s="60"/>
      <c r="D741" s="60"/>
    </row>
    <row r="742">
      <c r="A742" s="12"/>
      <c r="B742" s="12"/>
      <c r="C742" s="60"/>
      <c r="D742" s="60"/>
    </row>
    <row r="743">
      <c r="A743" s="12"/>
      <c r="B743" s="12"/>
      <c r="C743" s="60"/>
      <c r="D743" s="60"/>
    </row>
    <row r="744">
      <c r="A744" s="12"/>
      <c r="B744" s="12"/>
      <c r="C744" s="60"/>
      <c r="D744" s="60"/>
    </row>
    <row r="745">
      <c r="A745" s="12"/>
      <c r="B745" s="12"/>
      <c r="C745" s="60"/>
      <c r="D745" s="60"/>
    </row>
    <row r="746">
      <c r="A746" s="12"/>
      <c r="B746" s="12"/>
      <c r="C746" s="60"/>
      <c r="D746" s="60"/>
    </row>
    <row r="747">
      <c r="A747" s="12"/>
      <c r="B747" s="12"/>
      <c r="C747" s="60"/>
      <c r="D747" s="60"/>
    </row>
    <row r="748">
      <c r="A748" s="12"/>
      <c r="B748" s="12"/>
      <c r="C748" s="60"/>
      <c r="D748" s="60"/>
    </row>
    <row r="749">
      <c r="A749" s="12"/>
      <c r="B749" s="12"/>
      <c r="C749" s="60"/>
      <c r="D749" s="60"/>
    </row>
    <row r="750">
      <c r="A750" s="12"/>
      <c r="B750" s="12"/>
      <c r="C750" s="60"/>
      <c r="D750" s="60"/>
    </row>
    <row r="751">
      <c r="A751" s="12"/>
      <c r="B751" s="12"/>
      <c r="C751" s="60"/>
      <c r="D751" s="60"/>
    </row>
    <row r="752">
      <c r="A752" s="12"/>
      <c r="B752" s="12"/>
      <c r="C752" s="60"/>
      <c r="D752" s="60"/>
    </row>
    <row r="753">
      <c r="A753" s="12"/>
      <c r="B753" s="12"/>
      <c r="C753" s="60"/>
      <c r="D753" s="60"/>
    </row>
    <row r="754">
      <c r="A754" s="12"/>
      <c r="B754" s="12"/>
      <c r="C754" s="60"/>
      <c r="D754" s="60"/>
    </row>
    <row r="755">
      <c r="A755" s="12"/>
      <c r="B755" s="12"/>
      <c r="C755" s="60"/>
      <c r="D755" s="60"/>
    </row>
    <row r="756">
      <c r="A756" s="12"/>
      <c r="B756" s="12"/>
      <c r="C756" s="60"/>
      <c r="D756" s="60"/>
    </row>
    <row r="757">
      <c r="A757" s="12"/>
      <c r="B757" s="12"/>
      <c r="C757" s="60"/>
      <c r="D757" s="60"/>
    </row>
    <row r="758">
      <c r="A758" s="12"/>
      <c r="B758" s="12"/>
      <c r="C758" s="60"/>
      <c r="D758" s="60"/>
    </row>
    <row r="759">
      <c r="A759" s="12"/>
      <c r="B759" s="12"/>
      <c r="C759" s="60"/>
      <c r="D759" s="60"/>
    </row>
    <row r="760">
      <c r="A760" s="12"/>
      <c r="B760" s="12"/>
      <c r="C760" s="60"/>
      <c r="D760" s="60"/>
    </row>
    <row r="761">
      <c r="A761" s="12"/>
      <c r="B761" s="12"/>
      <c r="C761" s="60"/>
      <c r="D761" s="60"/>
    </row>
    <row r="762">
      <c r="A762" s="12"/>
      <c r="B762" s="12"/>
      <c r="C762" s="60"/>
      <c r="D762" s="60"/>
    </row>
    <row r="763">
      <c r="A763" s="12"/>
      <c r="B763" s="12"/>
      <c r="C763" s="60"/>
      <c r="D763" s="60"/>
    </row>
    <row r="764">
      <c r="A764" s="12"/>
      <c r="B764" s="12"/>
      <c r="C764" s="60"/>
      <c r="D764" s="60"/>
    </row>
    <row r="765">
      <c r="A765" s="12"/>
      <c r="B765" s="12"/>
      <c r="C765" s="60"/>
      <c r="D765" s="60"/>
    </row>
    <row r="766">
      <c r="A766" s="12"/>
      <c r="B766" s="12"/>
      <c r="C766" s="60"/>
      <c r="D766" s="60"/>
    </row>
    <row r="767">
      <c r="A767" s="12"/>
      <c r="B767" s="12"/>
      <c r="C767" s="60"/>
      <c r="D767" s="60"/>
    </row>
    <row r="768">
      <c r="A768" s="12"/>
      <c r="B768" s="12"/>
      <c r="C768" s="60"/>
      <c r="D768" s="60"/>
    </row>
    <row r="769">
      <c r="A769" s="12"/>
      <c r="B769" s="12"/>
      <c r="C769" s="60"/>
      <c r="D769" s="60"/>
    </row>
    <row r="770">
      <c r="A770" s="12"/>
      <c r="B770" s="12"/>
      <c r="C770" s="60"/>
      <c r="D770" s="60"/>
    </row>
    <row r="771">
      <c r="A771" s="12"/>
      <c r="B771" s="12"/>
      <c r="C771" s="60"/>
      <c r="D771" s="60"/>
    </row>
    <row r="772">
      <c r="A772" s="12"/>
      <c r="B772" s="12"/>
      <c r="C772" s="60"/>
      <c r="D772" s="60"/>
    </row>
    <row r="773">
      <c r="A773" s="12"/>
      <c r="B773" s="12"/>
      <c r="C773" s="60"/>
      <c r="D773" s="60"/>
    </row>
    <row r="774">
      <c r="A774" s="12"/>
      <c r="B774" s="12"/>
      <c r="C774" s="60"/>
      <c r="D774" s="60"/>
    </row>
    <row r="775">
      <c r="A775" s="12"/>
      <c r="B775" s="12"/>
      <c r="C775" s="60"/>
      <c r="D775" s="60"/>
    </row>
    <row r="776">
      <c r="A776" s="12"/>
      <c r="B776" s="12"/>
      <c r="C776" s="60"/>
      <c r="D776" s="60"/>
    </row>
    <row r="777">
      <c r="A777" s="12"/>
      <c r="B777" s="12"/>
      <c r="C777" s="60"/>
      <c r="D777" s="60"/>
    </row>
    <row r="778">
      <c r="A778" s="12"/>
      <c r="B778" s="12"/>
      <c r="C778" s="60"/>
      <c r="D778" s="60"/>
    </row>
    <row r="779">
      <c r="A779" s="12"/>
      <c r="B779" s="12"/>
      <c r="C779" s="60"/>
      <c r="D779" s="60"/>
    </row>
    <row r="780">
      <c r="A780" s="12"/>
      <c r="B780" s="12"/>
      <c r="C780" s="60"/>
      <c r="D780" s="60"/>
    </row>
    <row r="781">
      <c r="A781" s="12"/>
      <c r="B781" s="12"/>
      <c r="C781" s="60"/>
      <c r="D781" s="60"/>
    </row>
    <row r="782">
      <c r="A782" s="12"/>
      <c r="B782" s="12"/>
      <c r="C782" s="60"/>
      <c r="D782" s="60"/>
    </row>
    <row r="783">
      <c r="A783" s="12"/>
      <c r="B783" s="12"/>
      <c r="C783" s="60"/>
      <c r="D783" s="60"/>
    </row>
    <row r="784">
      <c r="A784" s="12"/>
      <c r="B784" s="12"/>
      <c r="C784" s="60"/>
      <c r="D784" s="60"/>
    </row>
    <row r="785">
      <c r="A785" s="12"/>
      <c r="B785" s="12"/>
      <c r="C785" s="60"/>
      <c r="D785" s="60"/>
    </row>
    <row r="786">
      <c r="A786" s="12"/>
      <c r="B786" s="12"/>
      <c r="C786" s="60"/>
      <c r="D786" s="60"/>
    </row>
    <row r="787">
      <c r="A787" s="12"/>
      <c r="B787" s="12"/>
      <c r="C787" s="60"/>
      <c r="D787" s="60"/>
    </row>
    <row r="788">
      <c r="A788" s="12"/>
      <c r="B788" s="12"/>
      <c r="C788" s="60"/>
      <c r="D788" s="60"/>
    </row>
    <row r="789">
      <c r="A789" s="12"/>
      <c r="B789" s="12"/>
      <c r="C789" s="60"/>
      <c r="D789" s="60"/>
    </row>
    <row r="790">
      <c r="A790" s="12"/>
      <c r="B790" s="12"/>
      <c r="C790" s="60"/>
      <c r="D790" s="60"/>
    </row>
    <row r="791">
      <c r="A791" s="12"/>
      <c r="B791" s="12"/>
      <c r="C791" s="60"/>
      <c r="D791" s="60"/>
    </row>
    <row r="792">
      <c r="A792" s="12"/>
      <c r="B792" s="12"/>
      <c r="C792" s="60"/>
      <c r="D792" s="60"/>
    </row>
    <row r="793">
      <c r="A793" s="12"/>
      <c r="B793" s="12"/>
      <c r="C793" s="60"/>
      <c r="D793" s="60"/>
    </row>
    <row r="794">
      <c r="A794" s="12"/>
      <c r="B794" s="12"/>
      <c r="C794" s="60"/>
      <c r="D794" s="60"/>
    </row>
    <row r="795">
      <c r="A795" s="12"/>
      <c r="B795" s="12"/>
      <c r="C795" s="60"/>
      <c r="D795" s="60"/>
    </row>
    <row r="796">
      <c r="A796" s="12"/>
      <c r="B796" s="12"/>
      <c r="C796" s="60"/>
      <c r="D796" s="60"/>
    </row>
    <row r="797">
      <c r="A797" s="12"/>
      <c r="B797" s="12"/>
      <c r="C797" s="60"/>
      <c r="D797" s="60"/>
    </row>
    <row r="798">
      <c r="A798" s="12"/>
      <c r="B798" s="12"/>
      <c r="C798" s="60"/>
      <c r="D798" s="60"/>
    </row>
    <row r="799">
      <c r="A799" s="12"/>
      <c r="B799" s="12"/>
      <c r="C799" s="60"/>
      <c r="D799" s="60"/>
    </row>
    <row r="800">
      <c r="A800" s="12"/>
      <c r="B800" s="12"/>
      <c r="C800" s="60"/>
      <c r="D800" s="60"/>
    </row>
    <row r="801">
      <c r="A801" s="12"/>
      <c r="B801" s="12"/>
      <c r="C801" s="60"/>
      <c r="D801" s="60"/>
    </row>
    <row r="802">
      <c r="A802" s="12"/>
      <c r="B802" s="12"/>
      <c r="C802" s="60"/>
      <c r="D802" s="60"/>
    </row>
    <row r="803">
      <c r="A803" s="12"/>
      <c r="B803" s="12"/>
      <c r="C803" s="60"/>
      <c r="D803" s="60"/>
    </row>
    <row r="804">
      <c r="A804" s="12"/>
      <c r="B804" s="12"/>
      <c r="C804" s="60"/>
      <c r="D804" s="60"/>
    </row>
    <row r="805">
      <c r="A805" s="12"/>
      <c r="B805" s="12"/>
      <c r="C805" s="60"/>
      <c r="D805" s="60"/>
    </row>
    <row r="806">
      <c r="A806" s="12"/>
      <c r="B806" s="12"/>
      <c r="C806" s="60"/>
      <c r="D806" s="60"/>
    </row>
    <row r="807">
      <c r="A807" s="12"/>
      <c r="B807" s="12"/>
      <c r="C807" s="60"/>
      <c r="D807" s="60"/>
    </row>
    <row r="808">
      <c r="A808" s="12"/>
      <c r="B808" s="12"/>
      <c r="C808" s="60"/>
      <c r="D808" s="60"/>
    </row>
    <row r="809">
      <c r="A809" s="12"/>
      <c r="B809" s="12"/>
      <c r="C809" s="60"/>
      <c r="D809" s="60"/>
    </row>
    <row r="810">
      <c r="A810" s="12"/>
      <c r="B810" s="12"/>
      <c r="C810" s="60"/>
      <c r="D810" s="60"/>
    </row>
    <row r="811">
      <c r="A811" s="12"/>
      <c r="B811" s="12"/>
      <c r="C811" s="60"/>
      <c r="D811" s="60"/>
    </row>
    <row r="812">
      <c r="A812" s="12"/>
      <c r="B812" s="12"/>
      <c r="C812" s="60"/>
      <c r="D812" s="60"/>
    </row>
    <row r="813">
      <c r="A813" s="12"/>
      <c r="B813" s="12"/>
      <c r="C813" s="60"/>
      <c r="D813" s="60"/>
    </row>
    <row r="814">
      <c r="A814" s="12"/>
      <c r="B814" s="12"/>
      <c r="C814" s="60"/>
      <c r="D814" s="60"/>
    </row>
    <row r="815">
      <c r="A815" s="12"/>
      <c r="B815" s="12"/>
      <c r="C815" s="60"/>
      <c r="D815" s="60"/>
    </row>
    <row r="816">
      <c r="A816" s="12"/>
      <c r="B816" s="12"/>
      <c r="C816" s="60"/>
      <c r="D816" s="60"/>
    </row>
    <row r="817">
      <c r="A817" s="12"/>
      <c r="B817" s="12"/>
      <c r="C817" s="60"/>
      <c r="D817" s="60"/>
    </row>
    <row r="818">
      <c r="A818" s="12"/>
      <c r="B818" s="12"/>
      <c r="C818" s="60"/>
      <c r="D818" s="60"/>
    </row>
    <row r="819">
      <c r="A819" s="12"/>
      <c r="B819" s="12"/>
      <c r="C819" s="60"/>
      <c r="D819" s="60"/>
    </row>
    <row r="820">
      <c r="A820" s="12"/>
      <c r="B820" s="12"/>
      <c r="C820" s="60"/>
      <c r="D820" s="60"/>
    </row>
    <row r="821">
      <c r="A821" s="12"/>
      <c r="B821" s="12"/>
      <c r="C821" s="60"/>
      <c r="D821" s="60"/>
    </row>
    <row r="822">
      <c r="A822" s="12"/>
      <c r="B822" s="12"/>
      <c r="C822" s="60"/>
      <c r="D822" s="60"/>
    </row>
    <row r="823">
      <c r="A823" s="12"/>
      <c r="B823" s="12"/>
      <c r="C823" s="60"/>
      <c r="D823" s="60"/>
    </row>
    <row r="824">
      <c r="A824" s="12"/>
      <c r="B824" s="12"/>
      <c r="C824" s="60"/>
      <c r="D824" s="60"/>
    </row>
    <row r="825">
      <c r="A825" s="12"/>
      <c r="B825" s="12"/>
      <c r="C825" s="60"/>
      <c r="D825" s="60"/>
    </row>
    <row r="826">
      <c r="A826" s="12"/>
      <c r="B826" s="12"/>
      <c r="C826" s="60"/>
      <c r="D826" s="60"/>
    </row>
    <row r="827">
      <c r="A827" s="12"/>
      <c r="B827" s="12"/>
      <c r="C827" s="60"/>
      <c r="D827" s="60"/>
    </row>
    <row r="828">
      <c r="A828" s="12"/>
      <c r="B828" s="12"/>
      <c r="C828" s="60"/>
      <c r="D828" s="60"/>
    </row>
    <row r="829">
      <c r="A829" s="12"/>
      <c r="B829" s="12"/>
      <c r="C829" s="60"/>
      <c r="D829" s="60"/>
    </row>
    <row r="830">
      <c r="A830" s="12"/>
      <c r="B830" s="12"/>
      <c r="C830" s="60"/>
      <c r="D830" s="60"/>
    </row>
    <row r="831">
      <c r="A831" s="12"/>
      <c r="B831" s="12"/>
      <c r="C831" s="60"/>
      <c r="D831" s="60"/>
    </row>
    <row r="832">
      <c r="A832" s="12"/>
      <c r="B832" s="12"/>
      <c r="C832" s="60"/>
      <c r="D832" s="60"/>
    </row>
    <row r="833">
      <c r="A833" s="12"/>
      <c r="B833" s="12"/>
      <c r="C833" s="60"/>
      <c r="D833" s="60"/>
    </row>
    <row r="834">
      <c r="A834" s="12"/>
      <c r="B834" s="12"/>
      <c r="C834" s="60"/>
      <c r="D834" s="60"/>
    </row>
    <row r="835">
      <c r="A835" s="12"/>
      <c r="B835" s="12"/>
      <c r="C835" s="60"/>
      <c r="D835" s="60"/>
    </row>
    <row r="836">
      <c r="A836" s="12"/>
      <c r="B836" s="12"/>
      <c r="C836" s="60"/>
      <c r="D836" s="60"/>
    </row>
    <row r="837">
      <c r="A837" s="12"/>
      <c r="B837" s="12"/>
      <c r="C837" s="60"/>
      <c r="D837" s="60"/>
    </row>
    <row r="838">
      <c r="A838" s="12"/>
      <c r="B838" s="12"/>
      <c r="C838" s="60"/>
      <c r="D838" s="60"/>
    </row>
    <row r="839">
      <c r="A839" s="12"/>
      <c r="B839" s="12"/>
      <c r="C839" s="60"/>
      <c r="D839" s="60"/>
    </row>
    <row r="840">
      <c r="A840" s="12"/>
      <c r="B840" s="12"/>
      <c r="C840" s="60"/>
      <c r="D840" s="60"/>
    </row>
    <row r="841">
      <c r="A841" s="12"/>
      <c r="B841" s="12"/>
      <c r="C841" s="60"/>
      <c r="D841" s="60"/>
    </row>
    <row r="842">
      <c r="A842" s="12"/>
      <c r="B842" s="12"/>
      <c r="C842" s="60"/>
      <c r="D842" s="60"/>
    </row>
    <row r="843">
      <c r="A843" s="12"/>
      <c r="B843" s="12"/>
      <c r="C843" s="60"/>
      <c r="D843" s="60"/>
    </row>
    <row r="844">
      <c r="A844" s="12"/>
      <c r="B844" s="12"/>
      <c r="C844" s="60"/>
      <c r="D844" s="60"/>
    </row>
    <row r="845">
      <c r="A845" s="12"/>
      <c r="B845" s="12"/>
      <c r="C845" s="60"/>
      <c r="D845" s="60"/>
    </row>
    <row r="846">
      <c r="A846" s="12"/>
      <c r="B846" s="12"/>
      <c r="C846" s="60"/>
      <c r="D846" s="60"/>
    </row>
    <row r="847">
      <c r="A847" s="12"/>
      <c r="B847" s="12"/>
      <c r="C847" s="60"/>
      <c r="D847" s="60"/>
    </row>
    <row r="848">
      <c r="A848" s="12"/>
      <c r="B848" s="12"/>
      <c r="C848" s="60"/>
      <c r="D848" s="60"/>
    </row>
    <row r="849">
      <c r="A849" s="12"/>
      <c r="B849" s="12"/>
      <c r="C849" s="60"/>
      <c r="D849" s="60"/>
    </row>
    <row r="850">
      <c r="A850" s="12"/>
      <c r="B850" s="12"/>
      <c r="C850" s="60"/>
      <c r="D850" s="60"/>
    </row>
    <row r="851">
      <c r="A851" s="12"/>
      <c r="B851" s="12"/>
      <c r="C851" s="60"/>
      <c r="D851" s="60"/>
    </row>
    <row r="852">
      <c r="A852" s="12"/>
      <c r="B852" s="12"/>
      <c r="C852" s="60"/>
      <c r="D852" s="60"/>
    </row>
    <row r="853">
      <c r="A853" s="12"/>
      <c r="B853" s="12"/>
      <c r="C853" s="60"/>
      <c r="D853" s="60"/>
    </row>
    <row r="854">
      <c r="A854" s="12"/>
      <c r="B854" s="12"/>
      <c r="C854" s="60"/>
      <c r="D854" s="60"/>
    </row>
    <row r="855">
      <c r="A855" s="12"/>
      <c r="B855" s="12"/>
      <c r="C855" s="60"/>
      <c r="D855" s="60"/>
    </row>
    <row r="856">
      <c r="A856" s="12"/>
      <c r="B856" s="12"/>
      <c r="C856" s="60"/>
      <c r="D856" s="60"/>
    </row>
    <row r="857">
      <c r="A857" s="12"/>
      <c r="B857" s="12"/>
      <c r="C857" s="60"/>
      <c r="D857" s="60"/>
    </row>
    <row r="858">
      <c r="A858" s="12"/>
      <c r="B858" s="12"/>
      <c r="C858" s="60"/>
      <c r="D858" s="60"/>
    </row>
    <row r="859">
      <c r="A859" s="12"/>
      <c r="B859" s="12"/>
      <c r="C859" s="60"/>
      <c r="D859" s="60"/>
    </row>
    <row r="860">
      <c r="A860" s="12"/>
      <c r="B860" s="12"/>
      <c r="C860" s="60"/>
      <c r="D860" s="60"/>
    </row>
    <row r="861">
      <c r="A861" s="12"/>
      <c r="B861" s="12"/>
      <c r="C861" s="60"/>
      <c r="D861" s="60"/>
    </row>
    <row r="862">
      <c r="A862" s="12"/>
      <c r="B862" s="12"/>
      <c r="C862" s="60"/>
      <c r="D862" s="60"/>
    </row>
    <row r="863">
      <c r="A863" s="12"/>
      <c r="B863" s="12"/>
      <c r="C863" s="60"/>
      <c r="D863" s="60"/>
    </row>
    <row r="864">
      <c r="A864" s="12"/>
      <c r="B864" s="12"/>
      <c r="C864" s="60"/>
      <c r="D864" s="60"/>
    </row>
    <row r="865">
      <c r="A865" s="12"/>
      <c r="B865" s="12"/>
      <c r="C865" s="60"/>
      <c r="D865" s="60"/>
    </row>
    <row r="866">
      <c r="A866" s="12"/>
      <c r="B866" s="12"/>
      <c r="C866" s="60"/>
      <c r="D866" s="60"/>
    </row>
    <row r="867">
      <c r="A867" s="12"/>
      <c r="B867" s="12"/>
      <c r="C867" s="60"/>
      <c r="D867" s="60"/>
    </row>
    <row r="868">
      <c r="A868" s="12"/>
      <c r="B868" s="12"/>
      <c r="C868" s="60"/>
      <c r="D868" s="60"/>
    </row>
    <row r="869">
      <c r="A869" s="12"/>
      <c r="B869" s="12"/>
      <c r="C869" s="60"/>
      <c r="D869" s="60"/>
    </row>
    <row r="870">
      <c r="A870" s="12"/>
      <c r="B870" s="12"/>
      <c r="C870" s="60"/>
      <c r="D870" s="60"/>
    </row>
    <row r="871">
      <c r="A871" s="12"/>
      <c r="B871" s="12"/>
      <c r="C871" s="60"/>
      <c r="D871" s="60"/>
    </row>
    <row r="872">
      <c r="A872" s="12"/>
      <c r="B872" s="12"/>
      <c r="C872" s="60"/>
      <c r="D872" s="60"/>
    </row>
    <row r="873">
      <c r="A873" s="12"/>
      <c r="B873" s="12"/>
      <c r="C873" s="60"/>
      <c r="D873" s="60"/>
    </row>
    <row r="874">
      <c r="A874" s="12"/>
      <c r="B874" s="12"/>
      <c r="C874" s="60"/>
      <c r="D874" s="60"/>
    </row>
    <row r="875">
      <c r="A875" s="12"/>
      <c r="B875" s="12"/>
      <c r="C875" s="60"/>
      <c r="D875" s="60"/>
    </row>
    <row r="876">
      <c r="A876" s="12"/>
      <c r="B876" s="12"/>
      <c r="C876" s="60"/>
      <c r="D876" s="60"/>
    </row>
    <row r="877">
      <c r="A877" s="12"/>
      <c r="B877" s="12"/>
      <c r="C877" s="60"/>
      <c r="D877" s="60"/>
    </row>
    <row r="878">
      <c r="A878" s="12"/>
      <c r="B878" s="12"/>
      <c r="C878" s="60"/>
      <c r="D878" s="60"/>
    </row>
    <row r="879">
      <c r="A879" s="12"/>
      <c r="B879" s="12"/>
      <c r="C879" s="60"/>
      <c r="D879" s="60"/>
    </row>
    <row r="880">
      <c r="A880" s="12"/>
      <c r="B880" s="12"/>
      <c r="C880" s="60"/>
      <c r="D880" s="60"/>
    </row>
    <row r="881">
      <c r="A881" s="12"/>
      <c r="B881" s="12"/>
      <c r="C881" s="60"/>
      <c r="D881" s="60"/>
    </row>
    <row r="882">
      <c r="A882" s="12"/>
      <c r="B882" s="12"/>
      <c r="C882" s="60"/>
      <c r="D882" s="60"/>
    </row>
    <row r="883">
      <c r="A883" s="12"/>
      <c r="B883" s="12"/>
      <c r="C883" s="60"/>
      <c r="D883" s="60"/>
    </row>
    <row r="884">
      <c r="A884" s="12"/>
      <c r="B884" s="12"/>
      <c r="C884" s="60"/>
      <c r="D884" s="60"/>
    </row>
    <row r="885">
      <c r="A885" s="12"/>
      <c r="B885" s="12"/>
      <c r="C885" s="60"/>
      <c r="D885" s="60"/>
    </row>
    <row r="886">
      <c r="A886" s="12"/>
      <c r="B886" s="12"/>
      <c r="C886" s="60"/>
      <c r="D886" s="60"/>
    </row>
    <row r="887">
      <c r="A887" s="12"/>
      <c r="B887" s="12"/>
      <c r="C887" s="60"/>
      <c r="D887" s="60"/>
    </row>
    <row r="888">
      <c r="A888" s="12"/>
      <c r="B888" s="12"/>
      <c r="C888" s="60"/>
      <c r="D888" s="60"/>
    </row>
    <row r="889">
      <c r="A889" s="12"/>
      <c r="B889" s="12"/>
      <c r="C889" s="60"/>
      <c r="D889" s="60"/>
    </row>
    <row r="890">
      <c r="A890" s="12"/>
      <c r="B890" s="12"/>
      <c r="C890" s="60"/>
      <c r="D890" s="60"/>
    </row>
    <row r="891">
      <c r="A891" s="12"/>
      <c r="B891" s="12"/>
      <c r="C891" s="60"/>
      <c r="D891" s="60"/>
    </row>
    <row r="892">
      <c r="A892" s="12"/>
      <c r="B892" s="12"/>
      <c r="C892" s="60"/>
      <c r="D892" s="60"/>
    </row>
    <row r="893">
      <c r="A893" s="12"/>
      <c r="B893" s="12"/>
      <c r="C893" s="60"/>
      <c r="D893" s="60"/>
    </row>
    <row r="894">
      <c r="A894" s="12"/>
      <c r="B894" s="12"/>
      <c r="C894" s="60"/>
      <c r="D894" s="60"/>
    </row>
    <row r="895">
      <c r="A895" s="12"/>
      <c r="B895" s="12"/>
      <c r="C895" s="60"/>
      <c r="D895" s="60"/>
    </row>
    <row r="896">
      <c r="A896" s="12"/>
      <c r="B896" s="12"/>
      <c r="C896" s="60"/>
      <c r="D896" s="60"/>
    </row>
    <row r="897">
      <c r="A897" s="12"/>
      <c r="B897" s="12"/>
      <c r="C897" s="60"/>
      <c r="D897" s="60"/>
    </row>
    <row r="898">
      <c r="A898" s="12"/>
      <c r="B898" s="12"/>
      <c r="C898" s="60"/>
      <c r="D898" s="60"/>
    </row>
    <row r="899">
      <c r="A899" s="12"/>
      <c r="B899" s="12"/>
      <c r="C899" s="60"/>
      <c r="D899" s="60"/>
    </row>
    <row r="900">
      <c r="A900" s="12"/>
      <c r="B900" s="12"/>
      <c r="C900" s="60"/>
      <c r="D900" s="60"/>
    </row>
    <row r="901">
      <c r="A901" s="12"/>
      <c r="B901" s="12"/>
      <c r="C901" s="60"/>
      <c r="D901" s="60"/>
    </row>
    <row r="902">
      <c r="A902" s="12"/>
      <c r="B902" s="12"/>
      <c r="C902" s="60"/>
      <c r="D902" s="60"/>
    </row>
    <row r="903">
      <c r="A903" s="12"/>
      <c r="B903" s="12"/>
      <c r="C903" s="60"/>
      <c r="D903" s="60"/>
    </row>
    <row r="904">
      <c r="A904" s="12"/>
      <c r="B904" s="12"/>
      <c r="C904" s="60"/>
      <c r="D904" s="60"/>
    </row>
    <row r="905">
      <c r="A905" s="12"/>
      <c r="B905" s="12"/>
      <c r="C905" s="60"/>
      <c r="D905" s="60"/>
    </row>
    <row r="906">
      <c r="A906" s="12"/>
      <c r="B906" s="12"/>
      <c r="C906" s="60"/>
      <c r="D906" s="60"/>
    </row>
    <row r="907">
      <c r="A907" s="12"/>
      <c r="B907" s="12"/>
      <c r="C907" s="60"/>
      <c r="D907" s="60"/>
    </row>
    <row r="908">
      <c r="A908" s="12"/>
      <c r="B908" s="12"/>
      <c r="C908" s="60"/>
      <c r="D908" s="60"/>
    </row>
    <row r="909">
      <c r="A909" s="12"/>
      <c r="B909" s="12"/>
      <c r="C909" s="60"/>
      <c r="D909" s="60"/>
    </row>
    <row r="910">
      <c r="A910" s="12"/>
      <c r="B910" s="12"/>
      <c r="C910" s="60"/>
      <c r="D910" s="60"/>
    </row>
    <row r="911">
      <c r="A911" s="12"/>
      <c r="B911" s="12"/>
      <c r="C911" s="60"/>
      <c r="D911" s="60"/>
    </row>
    <row r="912">
      <c r="A912" s="12"/>
      <c r="B912" s="12"/>
      <c r="C912" s="60"/>
      <c r="D912" s="60"/>
    </row>
    <row r="913">
      <c r="A913" s="12"/>
      <c r="B913" s="12"/>
      <c r="C913" s="60"/>
      <c r="D913" s="60"/>
    </row>
    <row r="914">
      <c r="A914" s="12"/>
      <c r="B914" s="12"/>
      <c r="C914" s="60"/>
      <c r="D914" s="60"/>
    </row>
    <row r="915">
      <c r="A915" s="12"/>
      <c r="B915" s="12"/>
      <c r="C915" s="60"/>
      <c r="D915" s="60"/>
    </row>
    <row r="916">
      <c r="A916" s="12"/>
      <c r="B916" s="12"/>
      <c r="C916" s="60"/>
      <c r="D916" s="60"/>
    </row>
    <row r="917">
      <c r="A917" s="12"/>
      <c r="B917" s="12"/>
      <c r="C917" s="60"/>
      <c r="D917" s="60"/>
    </row>
    <row r="918">
      <c r="A918" s="12"/>
      <c r="B918" s="12"/>
      <c r="C918" s="60"/>
      <c r="D918" s="60"/>
    </row>
    <row r="919">
      <c r="A919" s="12"/>
      <c r="B919" s="12"/>
      <c r="C919" s="60"/>
      <c r="D919" s="60"/>
    </row>
    <row r="920">
      <c r="A920" s="12"/>
      <c r="B920" s="12"/>
      <c r="C920" s="60"/>
      <c r="D920" s="60"/>
    </row>
    <row r="921">
      <c r="A921" s="12"/>
      <c r="B921" s="12"/>
      <c r="C921" s="60"/>
      <c r="D921" s="60"/>
    </row>
    <row r="922">
      <c r="A922" s="12"/>
      <c r="B922" s="12"/>
      <c r="C922" s="60"/>
      <c r="D922" s="60"/>
    </row>
    <row r="923">
      <c r="A923" s="12"/>
      <c r="B923" s="12"/>
      <c r="C923" s="60"/>
      <c r="D923" s="60"/>
    </row>
    <row r="924">
      <c r="A924" s="12"/>
      <c r="B924" s="12"/>
      <c r="C924" s="60"/>
      <c r="D924" s="60"/>
    </row>
    <row r="925">
      <c r="A925" s="12"/>
      <c r="B925" s="12"/>
      <c r="C925" s="60"/>
      <c r="D925" s="60"/>
    </row>
    <row r="926">
      <c r="A926" s="12"/>
      <c r="B926" s="12"/>
      <c r="C926" s="60"/>
      <c r="D926" s="60"/>
    </row>
    <row r="927">
      <c r="A927" s="12"/>
      <c r="B927" s="12"/>
      <c r="C927" s="60"/>
      <c r="D927" s="60"/>
    </row>
    <row r="928">
      <c r="A928" s="12"/>
      <c r="B928" s="12"/>
      <c r="C928" s="60"/>
      <c r="D928" s="60"/>
    </row>
    <row r="929">
      <c r="A929" s="12"/>
      <c r="B929" s="12"/>
      <c r="C929" s="60"/>
      <c r="D929" s="60"/>
    </row>
    <row r="930">
      <c r="A930" s="12"/>
      <c r="B930" s="12"/>
      <c r="C930" s="60"/>
      <c r="D930" s="60"/>
    </row>
    <row r="931">
      <c r="A931" s="12"/>
      <c r="B931" s="12"/>
      <c r="C931" s="60"/>
      <c r="D931" s="60"/>
    </row>
    <row r="932">
      <c r="A932" s="12"/>
      <c r="B932" s="12"/>
      <c r="C932" s="60"/>
      <c r="D932" s="60"/>
    </row>
    <row r="933">
      <c r="A933" s="12"/>
      <c r="B933" s="12"/>
      <c r="C933" s="60"/>
      <c r="D933" s="60"/>
    </row>
    <row r="934">
      <c r="A934" s="12"/>
      <c r="B934" s="12"/>
      <c r="C934" s="60"/>
      <c r="D934" s="60"/>
    </row>
    <row r="935">
      <c r="A935" s="12"/>
      <c r="B935" s="12"/>
      <c r="C935" s="60"/>
      <c r="D935" s="60"/>
    </row>
    <row r="936">
      <c r="A936" s="12"/>
      <c r="B936" s="12"/>
      <c r="C936" s="60"/>
      <c r="D936" s="60"/>
    </row>
    <row r="937">
      <c r="A937" s="12"/>
      <c r="B937" s="12"/>
      <c r="C937" s="60"/>
      <c r="D937" s="60"/>
    </row>
    <row r="938">
      <c r="A938" s="12"/>
      <c r="B938" s="12"/>
      <c r="C938" s="60"/>
      <c r="D938" s="60"/>
    </row>
    <row r="939">
      <c r="A939" s="12"/>
      <c r="B939" s="12"/>
      <c r="C939" s="60"/>
      <c r="D939" s="60"/>
    </row>
    <row r="940">
      <c r="A940" s="12"/>
      <c r="B940" s="12"/>
      <c r="C940" s="60"/>
      <c r="D940" s="60"/>
    </row>
    <row r="941">
      <c r="A941" s="12"/>
      <c r="B941" s="12"/>
      <c r="C941" s="60"/>
      <c r="D941" s="60"/>
    </row>
    <row r="942">
      <c r="A942" s="12"/>
      <c r="B942" s="12"/>
      <c r="C942" s="60"/>
      <c r="D942" s="60"/>
    </row>
    <row r="943">
      <c r="A943" s="12"/>
      <c r="B943" s="12"/>
      <c r="C943" s="60"/>
      <c r="D943" s="60"/>
    </row>
    <row r="944">
      <c r="A944" s="12"/>
      <c r="B944" s="12"/>
      <c r="C944" s="60"/>
      <c r="D944" s="60"/>
    </row>
    <row r="945">
      <c r="A945" s="12"/>
      <c r="B945" s="12"/>
      <c r="C945" s="60"/>
      <c r="D945" s="60"/>
    </row>
    <row r="946">
      <c r="A946" s="12"/>
      <c r="B946" s="12"/>
      <c r="C946" s="60"/>
      <c r="D946" s="60"/>
    </row>
    <row r="947">
      <c r="A947" s="12"/>
      <c r="B947" s="12"/>
      <c r="C947" s="60"/>
      <c r="D947" s="60"/>
    </row>
    <row r="948">
      <c r="A948" s="12"/>
      <c r="B948" s="12"/>
      <c r="C948" s="60"/>
      <c r="D948" s="60"/>
    </row>
    <row r="949">
      <c r="A949" s="12"/>
      <c r="B949" s="12"/>
      <c r="C949" s="60"/>
      <c r="D949" s="60"/>
    </row>
    <row r="950">
      <c r="A950" s="12"/>
      <c r="B950" s="12"/>
      <c r="C950" s="60"/>
      <c r="D950" s="60"/>
    </row>
    <row r="951">
      <c r="A951" s="12"/>
      <c r="B951" s="12"/>
      <c r="C951" s="60"/>
      <c r="D951" s="60"/>
    </row>
    <row r="952">
      <c r="A952" s="12"/>
      <c r="B952" s="12"/>
      <c r="C952" s="60"/>
      <c r="D952" s="60"/>
    </row>
    <row r="953">
      <c r="A953" s="12"/>
      <c r="B953" s="12"/>
      <c r="C953" s="60"/>
      <c r="D953" s="60"/>
    </row>
    <row r="954">
      <c r="A954" s="12"/>
      <c r="B954" s="12"/>
      <c r="C954" s="60"/>
      <c r="D954" s="60"/>
    </row>
    <row r="955">
      <c r="A955" s="12"/>
      <c r="B955" s="12"/>
      <c r="C955" s="60"/>
      <c r="D955" s="60"/>
    </row>
    <row r="956">
      <c r="A956" s="12"/>
      <c r="B956" s="12"/>
      <c r="C956" s="60"/>
      <c r="D956" s="60"/>
    </row>
    <row r="957">
      <c r="A957" s="12"/>
      <c r="B957" s="12"/>
      <c r="C957" s="60"/>
      <c r="D957" s="60"/>
    </row>
    <row r="958">
      <c r="A958" s="12"/>
      <c r="B958" s="12"/>
      <c r="C958" s="60"/>
      <c r="D958" s="60"/>
    </row>
    <row r="959">
      <c r="A959" s="12"/>
      <c r="B959" s="12"/>
      <c r="C959" s="60"/>
      <c r="D959" s="60"/>
    </row>
    <row r="960">
      <c r="A960" s="12"/>
      <c r="B960" s="12"/>
      <c r="C960" s="60"/>
      <c r="D960" s="60"/>
    </row>
    <row r="961">
      <c r="A961" s="12"/>
      <c r="B961" s="12"/>
      <c r="C961" s="60"/>
      <c r="D961" s="60"/>
    </row>
    <row r="962">
      <c r="A962" s="12"/>
      <c r="B962" s="12"/>
      <c r="C962" s="60"/>
      <c r="D962" s="60"/>
    </row>
    <row r="963">
      <c r="A963" s="12"/>
      <c r="B963" s="12"/>
      <c r="C963" s="60"/>
      <c r="D963" s="60"/>
    </row>
    <row r="964">
      <c r="A964" s="12"/>
      <c r="B964" s="12"/>
      <c r="C964" s="60"/>
      <c r="D964" s="60"/>
    </row>
    <row r="965">
      <c r="A965" s="12"/>
      <c r="B965" s="12"/>
      <c r="C965" s="60"/>
      <c r="D965" s="60"/>
    </row>
    <row r="966">
      <c r="A966" s="12"/>
      <c r="B966" s="12"/>
      <c r="C966" s="60"/>
      <c r="D966" s="60"/>
    </row>
    <row r="967">
      <c r="A967" s="12"/>
      <c r="B967" s="12"/>
      <c r="C967" s="60"/>
      <c r="D967" s="60"/>
    </row>
    <row r="968">
      <c r="A968" s="12"/>
      <c r="B968" s="12"/>
      <c r="C968" s="60"/>
      <c r="D968" s="60"/>
    </row>
    <row r="969">
      <c r="A969" s="12"/>
      <c r="B969" s="12"/>
      <c r="C969" s="60"/>
      <c r="D969" s="60"/>
    </row>
    <row r="970">
      <c r="A970" s="12"/>
      <c r="B970" s="12"/>
      <c r="C970" s="60"/>
      <c r="D970" s="60"/>
    </row>
    <row r="971">
      <c r="A971" s="12"/>
      <c r="B971" s="12"/>
      <c r="C971" s="60"/>
      <c r="D971" s="60"/>
    </row>
    <row r="972">
      <c r="A972" s="12"/>
      <c r="B972" s="12"/>
      <c r="C972" s="60"/>
      <c r="D972" s="60"/>
    </row>
    <row r="973">
      <c r="A973" s="12"/>
      <c r="B973" s="12"/>
      <c r="C973" s="60"/>
      <c r="D973" s="60"/>
    </row>
    <row r="974">
      <c r="A974" s="12"/>
      <c r="B974" s="12"/>
      <c r="C974" s="60"/>
      <c r="D974" s="60"/>
    </row>
    <row r="975">
      <c r="A975" s="12"/>
      <c r="B975" s="12"/>
      <c r="C975" s="60"/>
      <c r="D975" s="60"/>
    </row>
    <row r="976">
      <c r="A976" s="12"/>
      <c r="B976" s="12"/>
      <c r="C976" s="60"/>
      <c r="D976" s="60"/>
    </row>
    <row r="977">
      <c r="A977" s="12"/>
      <c r="B977" s="12"/>
      <c r="C977" s="60"/>
      <c r="D977" s="60"/>
    </row>
    <row r="978">
      <c r="A978" s="12"/>
      <c r="B978" s="12"/>
      <c r="C978" s="60"/>
      <c r="D978" s="60"/>
    </row>
    <row r="979">
      <c r="A979" s="12"/>
      <c r="B979" s="12"/>
      <c r="C979" s="60"/>
      <c r="D979" s="60"/>
    </row>
    <row r="980">
      <c r="A980" s="12"/>
      <c r="B980" s="12"/>
      <c r="C980" s="60"/>
      <c r="D980" s="60"/>
    </row>
    <row r="981">
      <c r="A981" s="12"/>
      <c r="B981" s="12"/>
      <c r="C981" s="60"/>
      <c r="D981" s="60"/>
    </row>
    <row r="982">
      <c r="A982" s="12"/>
      <c r="B982" s="12"/>
      <c r="C982" s="60"/>
      <c r="D982" s="60"/>
    </row>
    <row r="983">
      <c r="A983" s="12"/>
      <c r="B983" s="12"/>
      <c r="C983" s="60"/>
      <c r="D983" s="60"/>
    </row>
    <row r="984">
      <c r="A984" s="12"/>
      <c r="B984" s="12"/>
      <c r="C984" s="60"/>
      <c r="D984" s="60"/>
    </row>
    <row r="985">
      <c r="A985" s="12"/>
      <c r="B985" s="12"/>
      <c r="C985" s="60"/>
      <c r="D985" s="60"/>
    </row>
    <row r="986">
      <c r="A986" s="12"/>
      <c r="B986" s="12"/>
      <c r="C986" s="60"/>
      <c r="D986" s="60"/>
    </row>
    <row r="987">
      <c r="A987" s="12"/>
      <c r="B987" s="12"/>
      <c r="C987" s="60"/>
      <c r="D987" s="60"/>
    </row>
    <row r="988">
      <c r="A988" s="12"/>
      <c r="B988" s="12"/>
      <c r="C988" s="60"/>
      <c r="D988" s="60"/>
    </row>
    <row r="989">
      <c r="A989" s="12"/>
      <c r="B989" s="12"/>
      <c r="C989" s="60"/>
      <c r="D989" s="60"/>
    </row>
    <row r="990">
      <c r="A990" s="12"/>
      <c r="B990" s="12"/>
      <c r="C990" s="60"/>
      <c r="D990" s="60"/>
    </row>
    <row r="991">
      <c r="A991" s="12"/>
      <c r="B991" s="12"/>
      <c r="C991" s="60"/>
      <c r="D991" s="60"/>
    </row>
    <row r="992">
      <c r="A992" s="12"/>
      <c r="B992" s="12"/>
      <c r="C992" s="60"/>
      <c r="D992" s="60"/>
    </row>
    <row r="993">
      <c r="A993" s="12"/>
      <c r="B993" s="12"/>
      <c r="C993" s="60"/>
      <c r="D993" s="60"/>
    </row>
    <row r="994">
      <c r="A994" s="12"/>
      <c r="B994" s="12"/>
      <c r="C994" s="60"/>
      <c r="D994" s="60"/>
    </row>
    <row r="995">
      <c r="A995" s="12"/>
      <c r="B995" s="12"/>
      <c r="C995" s="60"/>
      <c r="D995" s="60"/>
    </row>
    <row r="996">
      <c r="A996" s="12"/>
      <c r="B996" s="12"/>
      <c r="C996" s="60"/>
      <c r="D996" s="60"/>
    </row>
    <row r="997">
      <c r="A997" s="12"/>
      <c r="B997" s="12"/>
      <c r="C997" s="60"/>
      <c r="D997" s="60"/>
    </row>
    <row r="998">
      <c r="A998" s="12"/>
      <c r="B998" s="12"/>
      <c r="C998" s="60"/>
      <c r="D998" s="60"/>
    </row>
    <row r="999">
      <c r="A999" s="12"/>
      <c r="B999" s="12"/>
      <c r="C999" s="60"/>
      <c r="D999" s="60"/>
    </row>
    <row r="1000">
      <c r="A1000" s="12"/>
      <c r="B1000" s="12"/>
      <c r="C1000" s="60"/>
      <c r="D1000" s="60"/>
    </row>
    <row r="1001">
      <c r="A1001" s="12"/>
      <c r="B1001" s="12"/>
      <c r="C1001" s="60"/>
      <c r="D1001" s="60"/>
    </row>
    <row r="1002">
      <c r="A1002" s="12"/>
      <c r="B1002" s="12"/>
      <c r="C1002" s="60"/>
      <c r="D1002" s="60"/>
    </row>
    <row r="1003">
      <c r="A1003" s="12"/>
      <c r="B1003" s="12"/>
      <c r="C1003" s="60"/>
      <c r="D1003" s="60"/>
    </row>
  </sheetData>
  <mergeCells count="8">
    <mergeCell ref="B1:E1"/>
    <mergeCell ref="A2:F2"/>
    <mergeCell ref="A3:D3"/>
    <mergeCell ref="A4:D4"/>
    <mergeCell ref="A5:B5"/>
    <mergeCell ref="A6:B6"/>
    <mergeCell ref="A7:B7"/>
    <mergeCell ref="A8:B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25.13"/>
    <col customWidth="1" min="3" max="3" width="15.13"/>
    <col customWidth="1" min="5" max="6" width="25.13"/>
    <col customWidth="1" min="7" max="7" width="14.88"/>
  </cols>
  <sheetData>
    <row r="1" ht="75.0" customHeight="1">
      <c r="A1" s="4" t="s">
        <v>87</v>
      </c>
      <c r="B1" s="3" t="s">
        <v>89</v>
      </c>
      <c r="G1" s="9">
        <f>SUM(C7,G7) / 100</f>
        <v>0</v>
      </c>
    </row>
    <row r="2">
      <c r="A2" s="10" t="s">
        <v>1271</v>
      </c>
      <c r="D2" s="10"/>
      <c r="E2" s="10"/>
      <c r="F2" s="10"/>
    </row>
    <row r="3">
      <c r="A3" s="12"/>
    </row>
    <row r="4">
      <c r="A4" s="25" t="s">
        <v>1277</v>
      </c>
      <c r="B4" s="6"/>
      <c r="C4" s="8"/>
      <c r="D4" s="15"/>
      <c r="E4" s="25" t="s">
        <v>1281</v>
      </c>
      <c r="F4" s="6"/>
      <c r="G4" s="8"/>
      <c r="H4" s="96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>
      <c r="A5" s="16" t="s">
        <v>11</v>
      </c>
      <c r="B5" s="8"/>
      <c r="C5" s="17">
        <v>500.0</v>
      </c>
      <c r="D5" s="18"/>
      <c r="E5" s="16" t="s">
        <v>11</v>
      </c>
      <c r="F5" s="8"/>
      <c r="G5" s="17">
        <v>200.0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>
      <c r="A6" s="16" t="s">
        <v>13</v>
      </c>
      <c r="B6" s="8"/>
      <c r="C6" s="17">
        <f>COUNTA(C10:C1001)</f>
        <v>0</v>
      </c>
      <c r="D6" s="18"/>
      <c r="E6" s="16" t="s">
        <v>13</v>
      </c>
      <c r="F6" s="8"/>
      <c r="G6" s="17">
        <f>COUNTA(G10:G1001)</f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>
      <c r="A7" s="16" t="s">
        <v>17</v>
      </c>
      <c r="B7" s="8"/>
      <c r="C7" s="48">
        <f>(C6 * C8) / C5</f>
        <v>0</v>
      </c>
      <c r="D7" s="18"/>
      <c r="E7" s="16" t="s">
        <v>17</v>
      </c>
      <c r="F7" s="8"/>
      <c r="G7" s="48">
        <f>(G6 * G8) / G5</f>
        <v>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>
      <c r="A8" s="36" t="s">
        <v>24</v>
      </c>
      <c r="B8" s="8"/>
      <c r="C8" s="38">
        <v>50.0</v>
      </c>
      <c r="D8" s="18"/>
      <c r="E8" s="36" t="s">
        <v>24</v>
      </c>
      <c r="F8" s="8"/>
      <c r="G8" s="38">
        <v>50.0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ht="59.25" customHeight="1">
      <c r="A9" s="39" t="s">
        <v>59</v>
      </c>
      <c r="B9" s="39" t="s">
        <v>26</v>
      </c>
      <c r="C9" s="40" t="s">
        <v>1290</v>
      </c>
      <c r="D9" s="18"/>
      <c r="E9" s="54" t="s">
        <v>59</v>
      </c>
      <c r="F9" s="54" t="s">
        <v>26</v>
      </c>
      <c r="G9" s="40" t="s">
        <v>1291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>
      <c r="A10" s="41" t="s">
        <v>1292</v>
      </c>
      <c r="B10" s="41"/>
      <c r="C10" s="42"/>
      <c r="E10" s="41" t="s">
        <v>1292</v>
      </c>
      <c r="F10" s="41"/>
      <c r="G10" s="41"/>
    </row>
    <row r="11">
      <c r="A11" s="41" t="s">
        <v>1293</v>
      </c>
      <c r="B11" s="41"/>
      <c r="C11" s="42"/>
      <c r="E11" s="41" t="s">
        <v>1293</v>
      </c>
      <c r="F11" s="41"/>
      <c r="G11" s="41"/>
    </row>
    <row r="12">
      <c r="A12" s="41" t="s">
        <v>1294</v>
      </c>
      <c r="B12" s="41"/>
      <c r="C12" s="42"/>
      <c r="E12" s="41" t="s">
        <v>1294</v>
      </c>
      <c r="F12" s="41"/>
      <c r="G12" s="41"/>
    </row>
    <row r="13">
      <c r="A13" s="41" t="s">
        <v>1295</v>
      </c>
      <c r="B13" s="41"/>
      <c r="C13" s="42"/>
      <c r="E13" s="41" t="s">
        <v>1295</v>
      </c>
      <c r="F13" s="41"/>
      <c r="G13" s="41"/>
    </row>
    <row r="14">
      <c r="A14" s="41" t="s">
        <v>1296</v>
      </c>
      <c r="B14" s="41"/>
      <c r="C14" s="42"/>
      <c r="E14" s="41" t="s">
        <v>1296</v>
      </c>
      <c r="F14" s="41"/>
      <c r="G14" s="41"/>
    </row>
    <row r="15">
      <c r="A15" s="41" t="s">
        <v>1297</v>
      </c>
      <c r="B15" s="41"/>
      <c r="C15" s="42"/>
      <c r="E15" s="41" t="s">
        <v>1297</v>
      </c>
      <c r="F15" s="41"/>
      <c r="G15" s="41"/>
    </row>
    <row r="16">
      <c r="A16" s="41" t="s">
        <v>1298</v>
      </c>
      <c r="B16" s="41"/>
      <c r="C16" s="42"/>
      <c r="E16" s="41" t="s">
        <v>1298</v>
      </c>
      <c r="F16" s="41"/>
      <c r="G16" s="41"/>
    </row>
    <row r="17">
      <c r="A17" s="41" t="s">
        <v>1299</v>
      </c>
      <c r="B17" s="41"/>
      <c r="C17" s="42"/>
      <c r="E17" s="41" t="s">
        <v>1299</v>
      </c>
      <c r="F17" s="41"/>
      <c r="G17" s="41"/>
    </row>
    <row r="18">
      <c r="A18" s="41" t="s">
        <v>1300</v>
      </c>
      <c r="B18" s="41"/>
      <c r="C18" s="42"/>
      <c r="E18" s="41" t="s">
        <v>1300</v>
      </c>
      <c r="F18" s="41"/>
      <c r="G18" s="41"/>
    </row>
    <row r="19">
      <c r="A19" s="41" t="s">
        <v>1301</v>
      </c>
      <c r="B19" s="41"/>
      <c r="C19" s="42"/>
      <c r="E19" s="41" t="s">
        <v>1301</v>
      </c>
      <c r="F19" s="41"/>
      <c r="G19" s="41"/>
    </row>
    <row r="20">
      <c r="A20" s="62"/>
      <c r="B20" s="62"/>
      <c r="C20" s="60"/>
    </row>
    <row r="21">
      <c r="A21" s="62"/>
      <c r="B21" s="62"/>
      <c r="C21" s="60"/>
    </row>
    <row r="22">
      <c r="A22" s="62"/>
      <c r="B22" s="62"/>
      <c r="C22" s="60"/>
    </row>
    <row r="23">
      <c r="A23" s="62"/>
      <c r="B23" s="62"/>
      <c r="C23" s="60"/>
    </row>
    <row r="24">
      <c r="A24" s="62"/>
      <c r="B24" s="62"/>
      <c r="C24" s="60"/>
    </row>
    <row r="25">
      <c r="A25" s="62"/>
      <c r="B25" s="62"/>
      <c r="C25" s="60"/>
    </row>
    <row r="26">
      <c r="A26" s="62"/>
      <c r="B26" s="62"/>
      <c r="C26" s="60"/>
    </row>
    <row r="27">
      <c r="A27" s="62"/>
      <c r="B27" s="62"/>
      <c r="C27" s="60"/>
    </row>
    <row r="28">
      <c r="A28" s="62"/>
      <c r="B28" s="62"/>
      <c r="C28" s="60"/>
    </row>
    <row r="29">
      <c r="A29" s="62"/>
      <c r="B29" s="62"/>
      <c r="C29" s="60"/>
    </row>
    <row r="30">
      <c r="A30" s="62"/>
      <c r="B30" s="62"/>
      <c r="C30" s="60"/>
    </row>
    <row r="31">
      <c r="A31" s="62"/>
      <c r="B31" s="62"/>
      <c r="C31" s="60"/>
    </row>
    <row r="32">
      <c r="A32" s="62"/>
      <c r="B32" s="62"/>
      <c r="C32" s="60"/>
    </row>
    <row r="33">
      <c r="A33" s="62"/>
      <c r="B33" s="62"/>
      <c r="C33" s="60"/>
    </row>
    <row r="34">
      <c r="A34" s="62"/>
      <c r="B34" s="62"/>
      <c r="C34" s="60"/>
    </row>
    <row r="35">
      <c r="A35" s="62"/>
      <c r="B35" s="62"/>
      <c r="C35" s="60"/>
    </row>
    <row r="36">
      <c r="A36" s="62"/>
      <c r="B36" s="62"/>
      <c r="C36" s="60"/>
    </row>
    <row r="37">
      <c r="A37" s="62"/>
      <c r="B37" s="62"/>
      <c r="C37" s="60"/>
    </row>
    <row r="38">
      <c r="A38" s="62"/>
      <c r="B38" s="62"/>
      <c r="C38" s="60"/>
    </row>
    <row r="39">
      <c r="A39" s="62"/>
      <c r="B39" s="62"/>
      <c r="C39" s="60"/>
    </row>
    <row r="40">
      <c r="A40" s="62"/>
      <c r="B40" s="62"/>
      <c r="C40" s="60"/>
    </row>
    <row r="41">
      <c r="A41" s="62"/>
      <c r="B41" s="62"/>
      <c r="C41" s="60"/>
    </row>
    <row r="42">
      <c r="A42" s="62"/>
      <c r="B42" s="62"/>
      <c r="C42" s="60"/>
    </row>
    <row r="43">
      <c r="A43" s="62"/>
      <c r="B43" s="62"/>
      <c r="C43" s="60"/>
    </row>
    <row r="44">
      <c r="A44" s="62"/>
      <c r="B44" s="62"/>
      <c r="C44" s="60"/>
    </row>
    <row r="45">
      <c r="A45" s="62"/>
      <c r="B45" s="62"/>
      <c r="C45" s="60"/>
    </row>
    <row r="46">
      <c r="A46" s="62"/>
      <c r="B46" s="62"/>
      <c r="C46" s="60"/>
    </row>
    <row r="47">
      <c r="A47" s="62"/>
      <c r="B47" s="62"/>
      <c r="C47" s="60"/>
    </row>
    <row r="48">
      <c r="A48" s="62"/>
      <c r="B48" s="62"/>
      <c r="C48" s="60"/>
    </row>
    <row r="49">
      <c r="A49" s="62"/>
      <c r="B49" s="62"/>
      <c r="C49" s="60"/>
    </row>
    <row r="50">
      <c r="A50" s="62"/>
      <c r="B50" s="62"/>
      <c r="C50" s="60"/>
    </row>
    <row r="51">
      <c r="A51" s="62"/>
      <c r="B51" s="62"/>
      <c r="C51" s="60"/>
    </row>
    <row r="52">
      <c r="A52" s="62"/>
      <c r="B52" s="62"/>
      <c r="C52" s="60"/>
    </row>
    <row r="53">
      <c r="A53" s="62"/>
      <c r="B53" s="62"/>
      <c r="C53" s="60"/>
    </row>
    <row r="54">
      <c r="A54" s="62"/>
      <c r="B54" s="62"/>
      <c r="C54" s="60"/>
    </row>
    <row r="55">
      <c r="A55" s="62"/>
      <c r="B55" s="62"/>
      <c r="C55" s="60"/>
    </row>
    <row r="56">
      <c r="A56" s="62"/>
      <c r="B56" s="62"/>
      <c r="C56" s="60"/>
    </row>
    <row r="57">
      <c r="A57" s="62"/>
      <c r="B57" s="62"/>
      <c r="C57" s="60"/>
    </row>
    <row r="58">
      <c r="A58" s="62"/>
      <c r="B58" s="62"/>
      <c r="C58" s="60"/>
    </row>
    <row r="59">
      <c r="A59" s="62"/>
      <c r="B59" s="62"/>
      <c r="C59" s="60"/>
    </row>
    <row r="60">
      <c r="A60" s="62"/>
      <c r="B60" s="62"/>
      <c r="C60" s="60"/>
    </row>
    <row r="61">
      <c r="A61" s="62"/>
      <c r="B61" s="62"/>
      <c r="C61" s="60"/>
    </row>
    <row r="62">
      <c r="A62" s="62"/>
      <c r="B62" s="62"/>
      <c r="C62" s="60"/>
    </row>
    <row r="63">
      <c r="A63" s="62"/>
      <c r="B63" s="62"/>
      <c r="C63" s="60"/>
    </row>
    <row r="64">
      <c r="A64" s="62"/>
      <c r="B64" s="62"/>
      <c r="C64" s="60"/>
    </row>
    <row r="65">
      <c r="A65" s="62"/>
      <c r="B65" s="62"/>
      <c r="C65" s="60"/>
    </row>
    <row r="66">
      <c r="A66" s="62"/>
      <c r="B66" s="62"/>
      <c r="C66" s="60"/>
    </row>
    <row r="67">
      <c r="A67" s="62"/>
      <c r="B67" s="62"/>
      <c r="C67" s="60"/>
    </row>
    <row r="68">
      <c r="A68" s="62"/>
      <c r="B68" s="62"/>
      <c r="C68" s="60"/>
    </row>
    <row r="69">
      <c r="A69" s="62"/>
      <c r="B69" s="62"/>
      <c r="C69" s="60"/>
    </row>
    <row r="70">
      <c r="A70" s="62"/>
      <c r="B70" s="62"/>
      <c r="C70" s="60"/>
    </row>
    <row r="71">
      <c r="A71" s="62"/>
      <c r="B71" s="62"/>
      <c r="C71" s="60"/>
    </row>
    <row r="72">
      <c r="A72" s="62"/>
      <c r="B72" s="62"/>
      <c r="C72" s="60"/>
    </row>
    <row r="73">
      <c r="A73" s="62"/>
      <c r="B73" s="62"/>
      <c r="C73" s="60"/>
    </row>
    <row r="74">
      <c r="A74" s="62"/>
      <c r="B74" s="62"/>
      <c r="C74" s="60"/>
    </row>
    <row r="75">
      <c r="A75" s="62"/>
      <c r="B75" s="62"/>
      <c r="C75" s="60"/>
    </row>
    <row r="76">
      <c r="A76" s="62"/>
      <c r="B76" s="62"/>
      <c r="C76" s="60"/>
    </row>
    <row r="77">
      <c r="A77" s="62"/>
      <c r="B77" s="62"/>
      <c r="C77" s="60"/>
    </row>
    <row r="78">
      <c r="A78" s="62"/>
      <c r="B78" s="62"/>
      <c r="C78" s="60"/>
    </row>
    <row r="79">
      <c r="A79" s="62"/>
      <c r="B79" s="62"/>
      <c r="C79" s="60"/>
    </row>
    <row r="80">
      <c r="A80" s="62"/>
      <c r="B80" s="62"/>
      <c r="C80" s="60"/>
    </row>
    <row r="81">
      <c r="A81" s="62"/>
      <c r="B81" s="62"/>
      <c r="C81" s="60"/>
    </row>
    <row r="82">
      <c r="A82" s="62"/>
      <c r="B82" s="62"/>
      <c r="C82" s="60"/>
    </row>
    <row r="83">
      <c r="A83" s="62"/>
      <c r="B83" s="62"/>
      <c r="C83" s="60"/>
    </row>
    <row r="84">
      <c r="A84" s="62"/>
      <c r="B84" s="62"/>
      <c r="C84" s="60"/>
    </row>
    <row r="85">
      <c r="A85" s="62"/>
      <c r="B85" s="62"/>
      <c r="C85" s="60"/>
    </row>
    <row r="86">
      <c r="A86" s="62"/>
      <c r="B86" s="62"/>
      <c r="C86" s="60"/>
    </row>
    <row r="87">
      <c r="A87" s="62"/>
      <c r="B87" s="62"/>
      <c r="C87" s="60"/>
    </row>
    <row r="88">
      <c r="A88" s="62"/>
      <c r="B88" s="62"/>
      <c r="C88" s="60"/>
    </row>
    <row r="89">
      <c r="A89" s="62"/>
      <c r="B89" s="62"/>
      <c r="C89" s="60"/>
    </row>
    <row r="90">
      <c r="A90" s="62"/>
      <c r="B90" s="62"/>
      <c r="C90" s="60"/>
    </row>
    <row r="91">
      <c r="A91" s="62"/>
      <c r="B91" s="62"/>
      <c r="C91" s="60"/>
    </row>
    <row r="92">
      <c r="A92" s="62"/>
      <c r="B92" s="62"/>
      <c r="C92" s="60"/>
    </row>
    <row r="93">
      <c r="A93" s="62"/>
      <c r="B93" s="62"/>
      <c r="C93" s="60"/>
    </row>
    <row r="94">
      <c r="A94" s="62"/>
      <c r="B94" s="62"/>
      <c r="C94" s="60"/>
    </row>
    <row r="95">
      <c r="A95" s="62"/>
      <c r="B95" s="62"/>
      <c r="C95" s="60"/>
    </row>
    <row r="96">
      <c r="A96" s="62"/>
      <c r="B96" s="62"/>
      <c r="C96" s="60"/>
    </row>
    <row r="97">
      <c r="A97" s="62"/>
      <c r="B97" s="62"/>
      <c r="C97" s="60"/>
    </row>
    <row r="98">
      <c r="A98" s="62"/>
      <c r="B98" s="62"/>
      <c r="C98" s="60"/>
    </row>
    <row r="99">
      <c r="A99" s="62"/>
      <c r="B99" s="62"/>
      <c r="C99" s="60"/>
    </row>
    <row r="100">
      <c r="A100" s="62"/>
      <c r="B100" s="62"/>
      <c r="C100" s="60"/>
    </row>
    <row r="101">
      <c r="A101" s="62"/>
      <c r="B101" s="62"/>
      <c r="C101" s="60"/>
    </row>
    <row r="102">
      <c r="A102" s="62"/>
      <c r="B102" s="62"/>
      <c r="C102" s="60"/>
    </row>
    <row r="103">
      <c r="A103" s="62"/>
      <c r="B103" s="62"/>
      <c r="C103" s="60"/>
    </row>
    <row r="104">
      <c r="A104" s="62"/>
      <c r="B104" s="62"/>
      <c r="C104" s="60"/>
    </row>
    <row r="105">
      <c r="A105" s="62"/>
      <c r="B105" s="62"/>
      <c r="C105" s="60"/>
    </row>
    <row r="106">
      <c r="A106" s="62"/>
      <c r="B106" s="62"/>
      <c r="C106" s="60"/>
    </row>
    <row r="107">
      <c r="A107" s="62"/>
      <c r="B107" s="62"/>
      <c r="C107" s="60"/>
    </row>
    <row r="108">
      <c r="A108" s="62"/>
      <c r="B108" s="62"/>
      <c r="C108" s="60"/>
    </row>
    <row r="109">
      <c r="A109" s="62"/>
      <c r="B109" s="62"/>
      <c r="C109" s="60"/>
    </row>
    <row r="110">
      <c r="A110" s="12"/>
      <c r="B110" s="12"/>
      <c r="C110" s="60"/>
    </row>
    <row r="111">
      <c r="A111" s="12"/>
      <c r="B111" s="12"/>
      <c r="C111" s="60"/>
    </row>
    <row r="112">
      <c r="A112" s="12"/>
      <c r="B112" s="12"/>
      <c r="C112" s="60"/>
    </row>
    <row r="113">
      <c r="A113" s="12"/>
      <c r="B113" s="12"/>
      <c r="C113" s="60"/>
    </row>
    <row r="114">
      <c r="A114" s="12"/>
      <c r="B114" s="12"/>
      <c r="C114" s="60"/>
    </row>
    <row r="115">
      <c r="A115" s="12"/>
      <c r="B115" s="12"/>
      <c r="C115" s="60"/>
    </row>
    <row r="116">
      <c r="A116" s="12"/>
      <c r="B116" s="12"/>
      <c r="C116" s="60"/>
    </row>
    <row r="117">
      <c r="A117" s="12"/>
      <c r="B117" s="12"/>
      <c r="C117" s="60"/>
    </row>
    <row r="118">
      <c r="A118" s="12"/>
      <c r="B118" s="12"/>
      <c r="C118" s="60"/>
    </row>
    <row r="119">
      <c r="A119" s="12"/>
      <c r="B119" s="12"/>
      <c r="C119" s="60"/>
    </row>
    <row r="120">
      <c r="A120" s="12"/>
      <c r="B120" s="12"/>
      <c r="C120" s="60"/>
    </row>
    <row r="121">
      <c r="A121" s="12"/>
      <c r="B121" s="12"/>
      <c r="C121" s="60"/>
    </row>
    <row r="122">
      <c r="A122" s="12"/>
      <c r="B122" s="12"/>
      <c r="C122" s="60"/>
    </row>
    <row r="123">
      <c r="A123" s="12"/>
      <c r="B123" s="12"/>
      <c r="C123" s="60"/>
    </row>
    <row r="124">
      <c r="A124" s="12"/>
      <c r="B124" s="12"/>
      <c r="C124" s="60"/>
    </row>
    <row r="125">
      <c r="A125" s="12"/>
      <c r="B125" s="12"/>
      <c r="C125" s="60"/>
    </row>
    <row r="126">
      <c r="A126" s="12"/>
      <c r="B126" s="12"/>
      <c r="C126" s="60"/>
    </row>
    <row r="127">
      <c r="A127" s="12"/>
      <c r="B127" s="12"/>
      <c r="C127" s="60"/>
    </row>
    <row r="128">
      <c r="A128" s="12"/>
      <c r="B128" s="12"/>
      <c r="C128" s="60"/>
    </row>
    <row r="129">
      <c r="A129" s="12"/>
      <c r="B129" s="12"/>
      <c r="C129" s="60"/>
    </row>
    <row r="130">
      <c r="A130" s="12"/>
      <c r="B130" s="12"/>
      <c r="C130" s="60"/>
    </row>
    <row r="131">
      <c r="A131" s="12"/>
      <c r="B131" s="12"/>
      <c r="C131" s="60"/>
    </row>
    <row r="132">
      <c r="A132" s="12"/>
      <c r="B132" s="12"/>
      <c r="C132" s="60"/>
    </row>
    <row r="133">
      <c r="A133" s="12"/>
      <c r="B133" s="12"/>
      <c r="C133" s="60"/>
    </row>
    <row r="134">
      <c r="A134" s="12"/>
      <c r="B134" s="12"/>
      <c r="C134" s="60"/>
    </row>
    <row r="135">
      <c r="A135" s="12"/>
      <c r="B135" s="12"/>
      <c r="C135" s="60"/>
    </row>
    <row r="136">
      <c r="A136" s="12"/>
      <c r="B136" s="12"/>
      <c r="C136" s="60"/>
    </row>
    <row r="137">
      <c r="A137" s="12"/>
      <c r="B137" s="12"/>
      <c r="C137" s="60"/>
    </row>
    <row r="138">
      <c r="A138" s="12"/>
      <c r="B138" s="12"/>
      <c r="C138" s="60"/>
    </row>
    <row r="139">
      <c r="A139" s="12"/>
      <c r="B139" s="12"/>
      <c r="C139" s="60"/>
    </row>
    <row r="140">
      <c r="A140" s="12"/>
      <c r="B140" s="12"/>
      <c r="C140" s="60"/>
    </row>
    <row r="141">
      <c r="A141" s="12"/>
      <c r="B141" s="12"/>
      <c r="C141" s="60"/>
    </row>
    <row r="142">
      <c r="A142" s="12"/>
      <c r="B142" s="12"/>
      <c r="C142" s="60"/>
    </row>
    <row r="143">
      <c r="A143" s="12"/>
      <c r="B143" s="12"/>
      <c r="C143" s="60"/>
    </row>
    <row r="144">
      <c r="A144" s="12"/>
      <c r="B144" s="12"/>
      <c r="C144" s="60"/>
    </row>
    <row r="145">
      <c r="A145" s="12"/>
      <c r="B145" s="12"/>
      <c r="C145" s="60"/>
    </row>
    <row r="146">
      <c r="A146" s="12"/>
      <c r="B146" s="12"/>
      <c r="C146" s="60"/>
    </row>
    <row r="147">
      <c r="A147" s="12"/>
      <c r="B147" s="12"/>
      <c r="C147" s="60"/>
    </row>
    <row r="148">
      <c r="A148" s="12"/>
      <c r="B148" s="12"/>
      <c r="C148" s="60"/>
    </row>
    <row r="149">
      <c r="A149" s="12"/>
      <c r="B149" s="12"/>
      <c r="C149" s="60"/>
    </row>
    <row r="150">
      <c r="A150" s="12"/>
      <c r="B150" s="12"/>
      <c r="C150" s="60"/>
    </row>
    <row r="151">
      <c r="A151" s="12"/>
      <c r="B151" s="12"/>
      <c r="C151" s="60"/>
    </row>
    <row r="152">
      <c r="A152" s="12"/>
      <c r="B152" s="12"/>
      <c r="C152" s="60"/>
    </row>
    <row r="153">
      <c r="A153" s="12"/>
      <c r="B153" s="12"/>
      <c r="C153" s="60"/>
    </row>
    <row r="154">
      <c r="A154" s="12"/>
      <c r="B154" s="12"/>
      <c r="C154" s="60"/>
    </row>
    <row r="155">
      <c r="A155" s="12"/>
      <c r="B155" s="12"/>
      <c r="C155" s="60"/>
    </row>
    <row r="156">
      <c r="A156" s="12"/>
      <c r="B156" s="12"/>
      <c r="C156" s="60"/>
    </row>
    <row r="157">
      <c r="A157" s="12"/>
      <c r="B157" s="12"/>
      <c r="C157" s="60"/>
    </row>
    <row r="158">
      <c r="A158" s="12"/>
      <c r="B158" s="12"/>
      <c r="C158" s="60"/>
    </row>
    <row r="159">
      <c r="A159" s="12"/>
      <c r="B159" s="12"/>
      <c r="C159" s="60"/>
    </row>
    <row r="160">
      <c r="A160" s="12"/>
      <c r="B160" s="12"/>
      <c r="C160" s="60"/>
    </row>
    <row r="161">
      <c r="A161" s="12"/>
      <c r="B161" s="12"/>
      <c r="C161" s="60"/>
    </row>
    <row r="162">
      <c r="A162" s="12"/>
      <c r="B162" s="12"/>
      <c r="C162" s="60"/>
    </row>
    <row r="163">
      <c r="A163" s="12"/>
      <c r="B163" s="12"/>
      <c r="C163" s="60"/>
    </row>
    <row r="164">
      <c r="A164" s="12"/>
      <c r="B164" s="12"/>
      <c r="C164" s="60"/>
    </row>
    <row r="165">
      <c r="A165" s="12"/>
      <c r="B165" s="12"/>
      <c r="C165" s="60"/>
    </row>
    <row r="166">
      <c r="A166" s="12"/>
      <c r="B166" s="12"/>
      <c r="C166" s="60"/>
    </row>
    <row r="167">
      <c r="A167" s="12"/>
      <c r="B167" s="12"/>
      <c r="C167" s="60"/>
    </row>
    <row r="168">
      <c r="A168" s="12"/>
      <c r="B168" s="12"/>
      <c r="C168" s="60"/>
    </row>
    <row r="169">
      <c r="A169" s="12"/>
      <c r="B169" s="12"/>
      <c r="C169" s="60"/>
    </row>
    <row r="170">
      <c r="A170" s="12"/>
      <c r="B170" s="12"/>
      <c r="C170" s="60"/>
    </row>
    <row r="171">
      <c r="A171" s="12"/>
      <c r="B171" s="12"/>
      <c r="C171" s="60"/>
    </row>
    <row r="172">
      <c r="A172" s="12"/>
      <c r="B172" s="12"/>
      <c r="C172" s="60"/>
    </row>
    <row r="173">
      <c r="A173" s="12"/>
      <c r="B173" s="12"/>
      <c r="C173" s="60"/>
    </row>
    <row r="174">
      <c r="A174" s="12"/>
      <c r="B174" s="12"/>
      <c r="C174" s="60"/>
    </row>
    <row r="175">
      <c r="A175" s="12"/>
      <c r="B175" s="12"/>
      <c r="C175" s="60"/>
    </row>
    <row r="176">
      <c r="A176" s="12"/>
      <c r="B176" s="12"/>
      <c r="C176" s="60"/>
    </row>
    <row r="177">
      <c r="A177" s="12"/>
      <c r="B177" s="12"/>
      <c r="C177" s="60"/>
    </row>
    <row r="178">
      <c r="A178" s="12"/>
      <c r="B178" s="12"/>
      <c r="C178" s="60"/>
    </row>
    <row r="179">
      <c r="A179" s="12"/>
      <c r="B179" s="12"/>
      <c r="C179" s="60"/>
    </row>
    <row r="180">
      <c r="A180" s="12"/>
      <c r="B180" s="12"/>
      <c r="C180" s="60"/>
    </row>
    <row r="181">
      <c r="A181" s="12"/>
      <c r="B181" s="12"/>
      <c r="C181" s="60"/>
    </row>
    <row r="182">
      <c r="A182" s="12"/>
      <c r="B182" s="12"/>
      <c r="C182" s="60"/>
    </row>
    <row r="183">
      <c r="A183" s="12"/>
      <c r="B183" s="12"/>
      <c r="C183" s="60"/>
    </row>
    <row r="184">
      <c r="A184" s="12"/>
      <c r="B184" s="12"/>
      <c r="C184" s="60"/>
    </row>
    <row r="185">
      <c r="A185" s="12"/>
      <c r="B185" s="12"/>
      <c r="C185" s="60"/>
    </row>
    <row r="186">
      <c r="A186" s="12"/>
      <c r="B186" s="12"/>
      <c r="C186" s="60"/>
    </row>
    <row r="187">
      <c r="A187" s="12"/>
      <c r="B187" s="12"/>
      <c r="C187" s="60"/>
    </row>
    <row r="188">
      <c r="A188" s="12"/>
      <c r="B188" s="12"/>
      <c r="C188" s="60"/>
    </row>
    <row r="189">
      <c r="A189" s="12"/>
      <c r="B189" s="12"/>
      <c r="C189" s="60"/>
    </row>
    <row r="190">
      <c r="A190" s="12"/>
      <c r="B190" s="12"/>
      <c r="C190" s="60"/>
    </row>
    <row r="191">
      <c r="A191" s="12"/>
      <c r="B191" s="12"/>
      <c r="C191" s="60"/>
    </row>
    <row r="192">
      <c r="A192" s="12"/>
      <c r="B192" s="12"/>
      <c r="C192" s="60"/>
    </row>
    <row r="193">
      <c r="A193" s="12"/>
      <c r="B193" s="12"/>
      <c r="C193" s="60"/>
    </row>
    <row r="194">
      <c r="A194" s="12"/>
      <c r="B194" s="12"/>
      <c r="C194" s="60"/>
    </row>
    <row r="195">
      <c r="A195" s="12"/>
      <c r="B195" s="12"/>
      <c r="C195" s="60"/>
    </row>
    <row r="196">
      <c r="A196" s="12"/>
      <c r="B196" s="12"/>
      <c r="C196" s="60"/>
    </row>
    <row r="197">
      <c r="A197" s="12"/>
      <c r="B197" s="12"/>
      <c r="C197" s="60"/>
    </row>
    <row r="198">
      <c r="A198" s="12"/>
      <c r="B198" s="12"/>
      <c r="C198" s="60"/>
    </row>
    <row r="199">
      <c r="A199" s="12"/>
      <c r="B199" s="12"/>
      <c r="C199" s="60"/>
    </row>
    <row r="200">
      <c r="A200" s="12"/>
      <c r="B200" s="12"/>
      <c r="C200" s="60"/>
    </row>
    <row r="201">
      <c r="A201" s="12"/>
      <c r="B201" s="12"/>
      <c r="C201" s="60"/>
    </row>
    <row r="202">
      <c r="A202" s="12"/>
      <c r="B202" s="12"/>
      <c r="C202" s="60"/>
    </row>
    <row r="203">
      <c r="A203" s="12"/>
      <c r="B203" s="12"/>
      <c r="C203" s="60"/>
    </row>
    <row r="204">
      <c r="A204" s="12"/>
      <c r="B204" s="12"/>
      <c r="C204" s="60"/>
    </row>
    <row r="205">
      <c r="A205" s="12"/>
      <c r="B205" s="12"/>
      <c r="C205" s="60"/>
    </row>
    <row r="206">
      <c r="A206" s="12"/>
      <c r="B206" s="12"/>
      <c r="C206" s="60"/>
    </row>
    <row r="207">
      <c r="A207" s="12"/>
      <c r="B207" s="12"/>
      <c r="C207" s="60"/>
    </row>
    <row r="208">
      <c r="A208" s="12"/>
      <c r="B208" s="12"/>
      <c r="C208" s="60"/>
    </row>
    <row r="209">
      <c r="A209" s="12"/>
      <c r="B209" s="12"/>
      <c r="C209" s="60"/>
    </row>
    <row r="210">
      <c r="A210" s="12"/>
      <c r="B210" s="12"/>
      <c r="C210" s="60"/>
    </row>
    <row r="211">
      <c r="A211" s="12"/>
      <c r="B211" s="12"/>
      <c r="C211" s="60"/>
    </row>
    <row r="212">
      <c r="A212" s="12"/>
      <c r="B212" s="12"/>
      <c r="C212" s="60"/>
    </row>
    <row r="213">
      <c r="A213" s="12"/>
      <c r="B213" s="12"/>
      <c r="C213" s="60"/>
    </row>
    <row r="214">
      <c r="A214" s="12"/>
      <c r="B214" s="12"/>
      <c r="C214" s="60"/>
    </row>
    <row r="215">
      <c r="A215" s="12"/>
      <c r="B215" s="12"/>
      <c r="C215" s="60"/>
    </row>
    <row r="216">
      <c r="A216" s="12"/>
      <c r="B216" s="12"/>
      <c r="C216" s="60"/>
    </row>
    <row r="217">
      <c r="A217" s="12"/>
      <c r="B217" s="12"/>
      <c r="C217" s="60"/>
    </row>
    <row r="218">
      <c r="A218" s="12"/>
      <c r="B218" s="12"/>
      <c r="C218" s="60"/>
    </row>
    <row r="219">
      <c r="A219" s="12"/>
      <c r="B219" s="12"/>
      <c r="C219" s="60"/>
    </row>
    <row r="220">
      <c r="A220" s="12"/>
      <c r="B220" s="12"/>
      <c r="C220" s="60"/>
    </row>
    <row r="221">
      <c r="A221" s="12"/>
      <c r="B221" s="12"/>
      <c r="C221" s="60"/>
    </row>
    <row r="222">
      <c r="A222" s="12"/>
      <c r="B222" s="12"/>
      <c r="C222" s="60"/>
    </row>
    <row r="223">
      <c r="A223" s="12"/>
      <c r="B223" s="12"/>
      <c r="C223" s="60"/>
    </row>
    <row r="224">
      <c r="A224" s="12"/>
      <c r="B224" s="12"/>
      <c r="C224" s="60"/>
    </row>
    <row r="225">
      <c r="A225" s="12"/>
      <c r="B225" s="12"/>
      <c r="C225" s="60"/>
    </row>
    <row r="226">
      <c r="A226" s="12"/>
      <c r="B226" s="12"/>
      <c r="C226" s="60"/>
    </row>
    <row r="227">
      <c r="A227" s="12"/>
      <c r="B227" s="12"/>
      <c r="C227" s="60"/>
    </row>
    <row r="228">
      <c r="A228" s="12"/>
      <c r="B228" s="12"/>
      <c r="C228" s="60"/>
    </row>
    <row r="229">
      <c r="A229" s="12"/>
      <c r="B229" s="12"/>
      <c r="C229" s="60"/>
    </row>
    <row r="230">
      <c r="A230" s="12"/>
      <c r="B230" s="12"/>
      <c r="C230" s="60"/>
    </row>
    <row r="231">
      <c r="A231" s="12"/>
      <c r="B231" s="12"/>
      <c r="C231" s="60"/>
    </row>
    <row r="232">
      <c r="A232" s="12"/>
      <c r="B232" s="12"/>
      <c r="C232" s="60"/>
    </row>
    <row r="233">
      <c r="A233" s="12"/>
      <c r="B233" s="12"/>
      <c r="C233" s="60"/>
    </row>
    <row r="234">
      <c r="A234" s="12"/>
      <c r="B234" s="12"/>
      <c r="C234" s="60"/>
    </row>
    <row r="235">
      <c r="A235" s="12"/>
      <c r="B235" s="12"/>
      <c r="C235" s="60"/>
    </row>
    <row r="236">
      <c r="A236" s="12"/>
      <c r="B236" s="12"/>
      <c r="C236" s="60"/>
    </row>
    <row r="237">
      <c r="A237" s="12"/>
      <c r="B237" s="12"/>
      <c r="C237" s="60"/>
    </row>
    <row r="238">
      <c r="A238" s="12"/>
      <c r="B238" s="12"/>
      <c r="C238" s="60"/>
    </row>
    <row r="239">
      <c r="A239" s="12"/>
      <c r="B239" s="12"/>
      <c r="C239" s="60"/>
    </row>
    <row r="240">
      <c r="A240" s="12"/>
      <c r="B240" s="12"/>
      <c r="C240" s="60"/>
    </row>
    <row r="241">
      <c r="A241" s="12"/>
      <c r="B241" s="12"/>
      <c r="C241" s="60"/>
    </row>
    <row r="242">
      <c r="A242" s="12"/>
      <c r="B242" s="12"/>
      <c r="C242" s="60"/>
    </row>
    <row r="243">
      <c r="A243" s="12"/>
      <c r="B243" s="12"/>
      <c r="C243" s="60"/>
    </row>
    <row r="244">
      <c r="A244" s="12"/>
      <c r="B244" s="12"/>
      <c r="C244" s="60"/>
    </row>
    <row r="245">
      <c r="A245" s="12"/>
      <c r="B245" s="12"/>
      <c r="C245" s="60"/>
    </row>
    <row r="246">
      <c r="A246" s="12"/>
      <c r="B246" s="12"/>
      <c r="C246" s="60"/>
    </row>
    <row r="247">
      <c r="A247" s="12"/>
      <c r="B247" s="12"/>
      <c r="C247" s="60"/>
    </row>
    <row r="248">
      <c r="A248" s="12"/>
      <c r="B248" s="12"/>
      <c r="C248" s="60"/>
    </row>
    <row r="249">
      <c r="A249" s="12"/>
      <c r="B249" s="12"/>
      <c r="C249" s="60"/>
    </row>
    <row r="250">
      <c r="A250" s="12"/>
      <c r="B250" s="12"/>
      <c r="C250" s="60"/>
    </row>
    <row r="251">
      <c r="A251" s="12"/>
      <c r="B251" s="12"/>
      <c r="C251" s="60"/>
    </row>
    <row r="252">
      <c r="A252" s="12"/>
      <c r="B252" s="12"/>
      <c r="C252" s="60"/>
    </row>
    <row r="253">
      <c r="A253" s="12"/>
      <c r="B253" s="12"/>
      <c r="C253" s="60"/>
    </row>
    <row r="254">
      <c r="A254" s="12"/>
      <c r="B254" s="12"/>
      <c r="C254" s="60"/>
    </row>
    <row r="255">
      <c r="A255" s="12"/>
      <c r="B255" s="12"/>
      <c r="C255" s="60"/>
    </row>
    <row r="256">
      <c r="A256" s="12"/>
      <c r="B256" s="12"/>
      <c r="C256" s="60"/>
    </row>
    <row r="257">
      <c r="A257" s="12"/>
      <c r="B257" s="12"/>
      <c r="C257" s="60"/>
    </row>
    <row r="258">
      <c r="A258" s="12"/>
      <c r="B258" s="12"/>
      <c r="C258" s="60"/>
    </row>
    <row r="259">
      <c r="A259" s="12"/>
      <c r="B259" s="12"/>
      <c r="C259" s="60"/>
    </row>
    <row r="260">
      <c r="A260" s="12"/>
      <c r="B260" s="12"/>
      <c r="C260" s="60"/>
    </row>
    <row r="261">
      <c r="A261" s="12"/>
      <c r="B261" s="12"/>
      <c r="C261" s="60"/>
    </row>
    <row r="262">
      <c r="A262" s="12"/>
      <c r="B262" s="12"/>
      <c r="C262" s="60"/>
    </row>
    <row r="263">
      <c r="A263" s="12"/>
      <c r="B263" s="12"/>
      <c r="C263" s="60"/>
    </row>
    <row r="264">
      <c r="A264" s="12"/>
      <c r="B264" s="12"/>
      <c r="C264" s="60"/>
    </row>
    <row r="265">
      <c r="A265" s="12"/>
      <c r="B265" s="12"/>
      <c r="C265" s="60"/>
    </row>
    <row r="266">
      <c r="A266" s="12"/>
      <c r="B266" s="12"/>
      <c r="C266" s="60"/>
    </row>
    <row r="267">
      <c r="A267" s="12"/>
      <c r="B267" s="12"/>
      <c r="C267" s="60"/>
    </row>
    <row r="268">
      <c r="A268" s="12"/>
      <c r="B268" s="12"/>
      <c r="C268" s="60"/>
    </row>
    <row r="269">
      <c r="A269" s="12"/>
      <c r="B269" s="12"/>
      <c r="C269" s="60"/>
    </row>
    <row r="270">
      <c r="A270" s="12"/>
      <c r="B270" s="12"/>
      <c r="C270" s="60"/>
    </row>
    <row r="271">
      <c r="A271" s="12"/>
      <c r="B271" s="12"/>
      <c r="C271" s="60"/>
    </row>
    <row r="272">
      <c r="A272" s="12"/>
      <c r="B272" s="12"/>
      <c r="C272" s="60"/>
    </row>
    <row r="273">
      <c r="A273" s="12"/>
      <c r="B273" s="12"/>
      <c r="C273" s="60"/>
    </row>
    <row r="274">
      <c r="A274" s="12"/>
      <c r="B274" s="12"/>
      <c r="C274" s="60"/>
    </row>
    <row r="275">
      <c r="A275" s="12"/>
      <c r="B275" s="12"/>
      <c r="C275" s="60"/>
    </row>
    <row r="276">
      <c r="A276" s="12"/>
      <c r="B276" s="12"/>
      <c r="C276" s="60"/>
    </row>
    <row r="277">
      <c r="A277" s="12"/>
      <c r="B277" s="12"/>
      <c r="C277" s="60"/>
    </row>
    <row r="278">
      <c r="A278" s="12"/>
      <c r="B278" s="12"/>
      <c r="C278" s="60"/>
    </row>
    <row r="279">
      <c r="A279" s="12"/>
      <c r="B279" s="12"/>
      <c r="C279" s="60"/>
    </row>
    <row r="280">
      <c r="A280" s="12"/>
      <c r="B280" s="12"/>
      <c r="C280" s="60"/>
    </row>
    <row r="281">
      <c r="A281" s="12"/>
      <c r="B281" s="12"/>
      <c r="C281" s="60"/>
    </row>
    <row r="282">
      <c r="A282" s="12"/>
      <c r="B282" s="12"/>
      <c r="C282" s="60"/>
    </row>
    <row r="283">
      <c r="A283" s="12"/>
      <c r="B283" s="12"/>
      <c r="C283" s="60"/>
    </row>
    <row r="284">
      <c r="A284" s="12"/>
      <c r="B284" s="12"/>
      <c r="C284" s="60"/>
    </row>
    <row r="285">
      <c r="A285" s="12"/>
      <c r="B285" s="12"/>
      <c r="C285" s="60"/>
    </row>
    <row r="286">
      <c r="A286" s="12"/>
      <c r="B286" s="12"/>
      <c r="C286" s="60"/>
    </row>
    <row r="287">
      <c r="A287" s="12"/>
      <c r="B287" s="12"/>
      <c r="C287" s="60"/>
    </row>
    <row r="288">
      <c r="A288" s="12"/>
      <c r="B288" s="12"/>
      <c r="C288" s="60"/>
    </row>
    <row r="289">
      <c r="A289" s="12"/>
      <c r="B289" s="12"/>
      <c r="C289" s="60"/>
    </row>
    <row r="290">
      <c r="A290" s="12"/>
      <c r="B290" s="12"/>
      <c r="C290" s="60"/>
    </row>
    <row r="291">
      <c r="A291" s="12"/>
      <c r="B291" s="12"/>
      <c r="C291" s="60"/>
    </row>
    <row r="292">
      <c r="A292" s="12"/>
      <c r="B292" s="12"/>
      <c r="C292" s="60"/>
    </row>
    <row r="293">
      <c r="A293" s="12"/>
      <c r="B293" s="12"/>
      <c r="C293" s="60"/>
    </row>
    <row r="294">
      <c r="A294" s="12"/>
      <c r="B294" s="12"/>
      <c r="C294" s="60"/>
    </row>
    <row r="295">
      <c r="A295" s="12"/>
      <c r="B295" s="12"/>
      <c r="C295" s="60"/>
    </row>
    <row r="296">
      <c r="A296" s="12"/>
      <c r="B296" s="12"/>
      <c r="C296" s="60"/>
    </row>
    <row r="297">
      <c r="A297" s="12"/>
      <c r="B297" s="12"/>
      <c r="C297" s="60"/>
    </row>
    <row r="298">
      <c r="A298" s="12"/>
      <c r="B298" s="12"/>
      <c r="C298" s="60"/>
    </row>
    <row r="299">
      <c r="A299" s="12"/>
      <c r="B299" s="12"/>
      <c r="C299" s="60"/>
    </row>
    <row r="300">
      <c r="A300" s="12"/>
      <c r="B300" s="12"/>
      <c r="C300" s="60"/>
    </row>
    <row r="301">
      <c r="A301" s="12"/>
      <c r="B301" s="12"/>
      <c r="C301" s="60"/>
    </row>
    <row r="302">
      <c r="A302" s="12"/>
      <c r="B302" s="12"/>
      <c r="C302" s="60"/>
    </row>
    <row r="303">
      <c r="A303" s="12"/>
      <c r="B303" s="12"/>
      <c r="C303" s="60"/>
    </row>
    <row r="304">
      <c r="A304" s="12"/>
      <c r="B304" s="12"/>
      <c r="C304" s="60"/>
    </row>
    <row r="305">
      <c r="A305" s="12"/>
      <c r="B305" s="12"/>
      <c r="C305" s="60"/>
    </row>
    <row r="306">
      <c r="A306" s="12"/>
      <c r="B306" s="12"/>
      <c r="C306" s="60"/>
    </row>
    <row r="307">
      <c r="A307" s="12"/>
      <c r="B307" s="12"/>
      <c r="C307" s="60"/>
    </row>
    <row r="308">
      <c r="A308" s="12"/>
      <c r="B308" s="12"/>
      <c r="C308" s="60"/>
    </row>
    <row r="309">
      <c r="A309" s="12"/>
      <c r="B309" s="12"/>
      <c r="C309" s="60"/>
    </row>
    <row r="310">
      <c r="A310" s="12"/>
      <c r="B310" s="12"/>
      <c r="C310" s="60"/>
    </row>
    <row r="311">
      <c r="A311" s="12"/>
      <c r="B311" s="12"/>
      <c r="C311" s="60"/>
    </row>
    <row r="312">
      <c r="A312" s="12"/>
      <c r="B312" s="12"/>
      <c r="C312" s="60"/>
    </row>
    <row r="313">
      <c r="A313" s="12"/>
      <c r="B313" s="12"/>
      <c r="C313" s="60"/>
    </row>
    <row r="314">
      <c r="A314" s="12"/>
      <c r="B314" s="12"/>
      <c r="C314" s="60"/>
    </row>
    <row r="315">
      <c r="A315" s="12"/>
      <c r="B315" s="12"/>
      <c r="C315" s="60"/>
    </row>
    <row r="316">
      <c r="A316" s="12"/>
      <c r="B316" s="12"/>
      <c r="C316" s="60"/>
    </row>
    <row r="317">
      <c r="A317" s="12"/>
      <c r="B317" s="12"/>
      <c r="C317" s="60"/>
    </row>
    <row r="318">
      <c r="A318" s="12"/>
      <c r="B318" s="12"/>
      <c r="C318" s="60"/>
    </row>
    <row r="319">
      <c r="A319" s="12"/>
      <c r="B319" s="12"/>
      <c r="C319" s="60"/>
    </row>
    <row r="320">
      <c r="A320" s="12"/>
      <c r="B320" s="12"/>
      <c r="C320" s="60"/>
    </row>
    <row r="321">
      <c r="A321" s="12"/>
      <c r="B321" s="12"/>
      <c r="C321" s="60"/>
    </row>
    <row r="322">
      <c r="A322" s="12"/>
      <c r="B322" s="12"/>
      <c r="C322" s="60"/>
    </row>
    <row r="323">
      <c r="A323" s="12"/>
      <c r="B323" s="12"/>
      <c r="C323" s="60"/>
    </row>
    <row r="324">
      <c r="A324" s="12"/>
      <c r="B324" s="12"/>
      <c r="C324" s="60"/>
    </row>
    <row r="325">
      <c r="A325" s="12"/>
      <c r="B325" s="12"/>
      <c r="C325" s="60"/>
    </row>
    <row r="326">
      <c r="A326" s="12"/>
      <c r="B326" s="12"/>
      <c r="C326" s="60"/>
    </row>
    <row r="327">
      <c r="A327" s="12"/>
      <c r="B327" s="12"/>
      <c r="C327" s="60"/>
    </row>
    <row r="328">
      <c r="A328" s="12"/>
      <c r="B328" s="12"/>
      <c r="C328" s="60"/>
    </row>
    <row r="329">
      <c r="A329" s="12"/>
      <c r="B329" s="12"/>
      <c r="C329" s="60"/>
    </row>
    <row r="330">
      <c r="A330" s="12"/>
      <c r="B330" s="12"/>
      <c r="C330" s="60"/>
    </row>
    <row r="331">
      <c r="A331" s="12"/>
      <c r="B331" s="12"/>
      <c r="C331" s="60"/>
    </row>
    <row r="332">
      <c r="A332" s="12"/>
      <c r="B332" s="12"/>
      <c r="C332" s="60"/>
    </row>
    <row r="333">
      <c r="A333" s="12"/>
      <c r="B333" s="12"/>
      <c r="C333" s="60"/>
    </row>
    <row r="334">
      <c r="A334" s="12"/>
      <c r="B334" s="12"/>
      <c r="C334" s="60"/>
    </row>
    <row r="335">
      <c r="A335" s="12"/>
      <c r="B335" s="12"/>
      <c r="C335" s="60"/>
    </row>
    <row r="336">
      <c r="A336" s="12"/>
      <c r="B336" s="12"/>
      <c r="C336" s="60"/>
    </row>
    <row r="337">
      <c r="A337" s="12"/>
      <c r="B337" s="12"/>
      <c r="C337" s="60"/>
    </row>
    <row r="338">
      <c r="A338" s="12"/>
      <c r="B338" s="12"/>
      <c r="C338" s="60"/>
    </row>
    <row r="339">
      <c r="A339" s="12"/>
      <c r="B339" s="12"/>
      <c r="C339" s="60"/>
    </row>
    <row r="340">
      <c r="A340" s="12"/>
      <c r="B340" s="12"/>
      <c r="C340" s="60"/>
    </row>
    <row r="341">
      <c r="A341" s="12"/>
      <c r="B341" s="12"/>
      <c r="C341" s="60"/>
    </row>
    <row r="342">
      <c r="A342" s="12"/>
      <c r="B342" s="12"/>
      <c r="C342" s="60"/>
    </row>
    <row r="343">
      <c r="A343" s="12"/>
      <c r="B343" s="12"/>
      <c r="C343" s="60"/>
    </row>
    <row r="344">
      <c r="A344" s="12"/>
      <c r="B344" s="12"/>
      <c r="C344" s="60"/>
    </row>
    <row r="345">
      <c r="A345" s="12"/>
      <c r="B345" s="12"/>
      <c r="C345" s="60"/>
    </row>
    <row r="346">
      <c r="A346" s="12"/>
      <c r="B346" s="12"/>
      <c r="C346" s="60"/>
    </row>
    <row r="347">
      <c r="A347" s="12"/>
      <c r="B347" s="12"/>
      <c r="C347" s="60"/>
    </row>
    <row r="348">
      <c r="A348" s="12"/>
      <c r="B348" s="12"/>
      <c r="C348" s="60"/>
    </row>
    <row r="349">
      <c r="A349" s="12"/>
      <c r="B349" s="12"/>
      <c r="C349" s="60"/>
    </row>
    <row r="350">
      <c r="A350" s="12"/>
      <c r="B350" s="12"/>
      <c r="C350" s="60"/>
    </row>
    <row r="351">
      <c r="A351" s="12"/>
      <c r="B351" s="12"/>
      <c r="C351" s="60"/>
    </row>
    <row r="352">
      <c r="A352" s="12"/>
      <c r="B352" s="12"/>
      <c r="C352" s="60"/>
    </row>
    <row r="353">
      <c r="A353" s="12"/>
      <c r="B353" s="12"/>
      <c r="C353" s="60"/>
    </row>
    <row r="354">
      <c r="A354" s="12"/>
      <c r="B354" s="12"/>
      <c r="C354" s="60"/>
    </row>
    <row r="355">
      <c r="A355" s="12"/>
      <c r="B355" s="12"/>
      <c r="C355" s="60"/>
    </row>
    <row r="356">
      <c r="A356" s="12"/>
      <c r="B356" s="12"/>
      <c r="C356" s="60"/>
    </row>
    <row r="357">
      <c r="A357" s="12"/>
      <c r="B357" s="12"/>
      <c r="C357" s="60"/>
    </row>
    <row r="358">
      <c r="A358" s="12"/>
      <c r="B358" s="12"/>
      <c r="C358" s="60"/>
    </row>
    <row r="359">
      <c r="A359" s="12"/>
      <c r="B359" s="12"/>
      <c r="C359" s="60"/>
    </row>
    <row r="360">
      <c r="A360" s="12"/>
      <c r="B360" s="12"/>
      <c r="C360" s="60"/>
    </row>
    <row r="361">
      <c r="A361" s="12"/>
      <c r="B361" s="12"/>
      <c r="C361" s="60"/>
    </row>
    <row r="362">
      <c r="A362" s="12"/>
      <c r="B362" s="12"/>
      <c r="C362" s="60"/>
    </row>
    <row r="363">
      <c r="A363" s="12"/>
      <c r="B363" s="12"/>
      <c r="C363" s="60"/>
    </row>
    <row r="364">
      <c r="A364" s="12"/>
      <c r="B364" s="12"/>
      <c r="C364" s="60"/>
    </row>
    <row r="365">
      <c r="A365" s="12"/>
      <c r="B365" s="12"/>
      <c r="C365" s="60"/>
    </row>
    <row r="366">
      <c r="A366" s="12"/>
      <c r="B366" s="12"/>
      <c r="C366" s="60"/>
    </row>
    <row r="367">
      <c r="A367" s="12"/>
      <c r="B367" s="12"/>
      <c r="C367" s="60"/>
    </row>
    <row r="368">
      <c r="A368" s="12"/>
      <c r="B368" s="12"/>
      <c r="C368" s="60"/>
    </row>
    <row r="369">
      <c r="A369" s="12"/>
      <c r="B369" s="12"/>
      <c r="C369" s="60"/>
    </row>
    <row r="370">
      <c r="A370" s="12"/>
      <c r="B370" s="12"/>
      <c r="C370" s="60"/>
    </row>
    <row r="371">
      <c r="A371" s="12"/>
      <c r="B371" s="12"/>
      <c r="C371" s="60"/>
    </row>
    <row r="372">
      <c r="A372" s="12"/>
      <c r="B372" s="12"/>
      <c r="C372" s="60"/>
    </row>
    <row r="373">
      <c r="A373" s="12"/>
      <c r="B373" s="12"/>
      <c r="C373" s="60"/>
    </row>
    <row r="374">
      <c r="A374" s="12"/>
      <c r="B374" s="12"/>
      <c r="C374" s="60"/>
    </row>
    <row r="375">
      <c r="A375" s="12"/>
      <c r="B375" s="12"/>
      <c r="C375" s="60"/>
    </row>
    <row r="376">
      <c r="A376" s="12"/>
      <c r="B376" s="12"/>
      <c r="C376" s="60"/>
    </row>
    <row r="377">
      <c r="A377" s="12"/>
      <c r="B377" s="12"/>
      <c r="C377" s="60"/>
    </row>
    <row r="378">
      <c r="A378" s="12"/>
      <c r="B378" s="12"/>
      <c r="C378" s="60"/>
    </row>
    <row r="379">
      <c r="A379" s="12"/>
      <c r="B379" s="12"/>
      <c r="C379" s="60"/>
    </row>
    <row r="380">
      <c r="A380" s="12"/>
      <c r="B380" s="12"/>
      <c r="C380" s="60"/>
    </row>
    <row r="381">
      <c r="A381" s="12"/>
      <c r="B381" s="12"/>
      <c r="C381" s="60"/>
    </row>
    <row r="382">
      <c r="A382" s="12"/>
      <c r="B382" s="12"/>
      <c r="C382" s="60"/>
    </row>
    <row r="383">
      <c r="A383" s="12"/>
      <c r="B383" s="12"/>
      <c r="C383" s="60"/>
    </row>
    <row r="384">
      <c r="A384" s="12"/>
      <c r="B384" s="12"/>
      <c r="C384" s="60"/>
    </row>
    <row r="385">
      <c r="A385" s="12"/>
      <c r="B385" s="12"/>
      <c r="C385" s="60"/>
    </row>
    <row r="386">
      <c r="A386" s="12"/>
      <c r="B386" s="12"/>
      <c r="C386" s="60"/>
    </row>
    <row r="387">
      <c r="A387" s="12"/>
      <c r="B387" s="12"/>
      <c r="C387" s="60"/>
    </row>
    <row r="388">
      <c r="A388" s="12"/>
      <c r="B388" s="12"/>
      <c r="C388" s="60"/>
    </row>
    <row r="389">
      <c r="A389" s="12"/>
      <c r="B389" s="12"/>
      <c r="C389" s="60"/>
    </row>
    <row r="390">
      <c r="A390" s="12"/>
      <c r="B390" s="12"/>
      <c r="C390" s="60"/>
    </row>
    <row r="391">
      <c r="A391" s="12"/>
      <c r="B391" s="12"/>
      <c r="C391" s="60"/>
    </row>
    <row r="392">
      <c r="A392" s="12"/>
      <c r="B392" s="12"/>
      <c r="C392" s="60"/>
    </row>
    <row r="393">
      <c r="A393" s="12"/>
      <c r="B393" s="12"/>
      <c r="C393" s="60"/>
    </row>
    <row r="394">
      <c r="A394" s="12"/>
      <c r="B394" s="12"/>
      <c r="C394" s="60"/>
    </row>
    <row r="395">
      <c r="A395" s="12"/>
      <c r="B395" s="12"/>
      <c r="C395" s="60"/>
    </row>
    <row r="396">
      <c r="A396" s="12"/>
      <c r="B396" s="12"/>
      <c r="C396" s="60"/>
    </row>
    <row r="397">
      <c r="A397" s="12"/>
      <c r="B397" s="12"/>
      <c r="C397" s="60"/>
    </row>
    <row r="398">
      <c r="A398" s="12"/>
      <c r="B398" s="12"/>
      <c r="C398" s="60"/>
    </row>
    <row r="399">
      <c r="A399" s="12"/>
      <c r="B399" s="12"/>
      <c r="C399" s="60"/>
    </row>
    <row r="400">
      <c r="A400" s="12"/>
      <c r="B400" s="12"/>
      <c r="C400" s="60"/>
    </row>
    <row r="401">
      <c r="A401" s="12"/>
      <c r="B401" s="12"/>
      <c r="C401" s="60"/>
    </row>
    <row r="402">
      <c r="A402" s="12"/>
      <c r="B402" s="12"/>
      <c r="C402" s="60"/>
    </row>
    <row r="403">
      <c r="A403" s="12"/>
      <c r="B403" s="12"/>
      <c r="C403" s="60"/>
    </row>
    <row r="404">
      <c r="A404" s="12"/>
      <c r="B404" s="12"/>
      <c r="C404" s="60"/>
    </row>
    <row r="405">
      <c r="A405" s="12"/>
      <c r="B405" s="12"/>
      <c r="C405" s="60"/>
    </row>
    <row r="406">
      <c r="A406" s="12"/>
      <c r="B406" s="12"/>
      <c r="C406" s="60"/>
    </row>
    <row r="407">
      <c r="A407" s="12"/>
      <c r="B407" s="12"/>
      <c r="C407" s="60"/>
    </row>
    <row r="408">
      <c r="A408" s="12"/>
      <c r="B408" s="12"/>
      <c r="C408" s="60"/>
    </row>
    <row r="409">
      <c r="A409" s="12"/>
      <c r="B409" s="12"/>
      <c r="C409" s="60"/>
    </row>
    <row r="410">
      <c r="A410" s="12"/>
      <c r="B410" s="12"/>
      <c r="C410" s="60"/>
    </row>
    <row r="411">
      <c r="A411" s="12"/>
      <c r="B411" s="12"/>
      <c r="C411" s="60"/>
    </row>
    <row r="412">
      <c r="A412" s="12"/>
      <c r="B412" s="12"/>
      <c r="C412" s="60"/>
    </row>
    <row r="413">
      <c r="A413" s="12"/>
      <c r="B413" s="12"/>
      <c r="C413" s="60"/>
    </row>
    <row r="414">
      <c r="A414" s="12"/>
      <c r="B414" s="12"/>
      <c r="C414" s="60"/>
    </row>
    <row r="415">
      <c r="A415" s="12"/>
      <c r="B415" s="12"/>
      <c r="C415" s="60"/>
    </row>
    <row r="416">
      <c r="A416" s="12"/>
      <c r="B416" s="12"/>
      <c r="C416" s="60"/>
    </row>
    <row r="417">
      <c r="A417" s="12"/>
      <c r="B417" s="12"/>
      <c r="C417" s="60"/>
    </row>
    <row r="418">
      <c r="A418" s="12"/>
      <c r="B418" s="12"/>
      <c r="C418" s="60"/>
    </row>
    <row r="419">
      <c r="A419" s="12"/>
      <c r="B419" s="12"/>
      <c r="C419" s="60"/>
    </row>
    <row r="420">
      <c r="A420" s="12"/>
      <c r="B420" s="12"/>
      <c r="C420" s="60"/>
    </row>
    <row r="421">
      <c r="A421" s="12"/>
      <c r="B421" s="12"/>
      <c r="C421" s="60"/>
    </row>
    <row r="422">
      <c r="A422" s="12"/>
      <c r="B422" s="12"/>
      <c r="C422" s="60"/>
    </row>
    <row r="423">
      <c r="A423" s="12"/>
      <c r="B423" s="12"/>
      <c r="C423" s="60"/>
    </row>
    <row r="424">
      <c r="A424" s="12"/>
      <c r="B424" s="12"/>
      <c r="C424" s="60"/>
    </row>
    <row r="425">
      <c r="A425" s="12"/>
      <c r="B425" s="12"/>
      <c r="C425" s="60"/>
    </row>
    <row r="426">
      <c r="A426" s="12"/>
      <c r="B426" s="12"/>
      <c r="C426" s="60"/>
    </row>
    <row r="427">
      <c r="A427" s="12"/>
      <c r="B427" s="12"/>
      <c r="C427" s="60"/>
    </row>
    <row r="428">
      <c r="A428" s="12"/>
      <c r="B428" s="12"/>
      <c r="C428" s="60"/>
    </row>
    <row r="429">
      <c r="A429" s="12"/>
      <c r="B429" s="12"/>
      <c r="C429" s="60"/>
    </row>
    <row r="430">
      <c r="A430" s="12"/>
      <c r="B430" s="12"/>
      <c r="C430" s="60"/>
    </row>
    <row r="431">
      <c r="A431" s="12"/>
      <c r="B431" s="12"/>
      <c r="C431" s="60"/>
    </row>
    <row r="432">
      <c r="A432" s="12"/>
      <c r="B432" s="12"/>
      <c r="C432" s="60"/>
    </row>
    <row r="433">
      <c r="A433" s="12"/>
      <c r="B433" s="12"/>
      <c r="C433" s="60"/>
    </row>
    <row r="434">
      <c r="A434" s="12"/>
      <c r="B434" s="12"/>
      <c r="C434" s="60"/>
    </row>
    <row r="435">
      <c r="A435" s="12"/>
      <c r="B435" s="12"/>
      <c r="C435" s="60"/>
    </row>
    <row r="436">
      <c r="A436" s="12"/>
      <c r="B436" s="12"/>
      <c r="C436" s="60"/>
    </row>
    <row r="437">
      <c r="A437" s="12"/>
      <c r="B437" s="12"/>
      <c r="C437" s="60"/>
    </row>
    <row r="438">
      <c r="A438" s="12"/>
      <c r="B438" s="12"/>
      <c r="C438" s="60"/>
    </row>
    <row r="439">
      <c r="A439" s="12"/>
      <c r="B439" s="12"/>
      <c r="C439" s="60"/>
    </row>
    <row r="440">
      <c r="A440" s="12"/>
      <c r="B440" s="12"/>
      <c r="C440" s="60"/>
    </row>
    <row r="441">
      <c r="A441" s="12"/>
      <c r="B441" s="12"/>
      <c r="C441" s="60"/>
    </row>
    <row r="442">
      <c r="A442" s="12"/>
      <c r="B442" s="12"/>
      <c r="C442" s="60"/>
    </row>
    <row r="443">
      <c r="A443" s="12"/>
      <c r="B443" s="12"/>
      <c r="C443" s="60"/>
    </row>
    <row r="444">
      <c r="A444" s="12"/>
      <c r="B444" s="12"/>
      <c r="C444" s="60"/>
    </row>
    <row r="445">
      <c r="A445" s="12"/>
      <c r="B445" s="12"/>
      <c r="C445" s="60"/>
    </row>
    <row r="446">
      <c r="A446" s="12"/>
      <c r="B446" s="12"/>
      <c r="C446" s="60"/>
    </row>
    <row r="447">
      <c r="A447" s="12"/>
      <c r="B447" s="12"/>
      <c r="C447" s="60"/>
    </row>
    <row r="448">
      <c r="A448" s="12"/>
      <c r="B448" s="12"/>
      <c r="C448" s="60"/>
    </row>
    <row r="449">
      <c r="A449" s="12"/>
      <c r="B449" s="12"/>
      <c r="C449" s="60"/>
    </row>
    <row r="450">
      <c r="A450" s="12"/>
      <c r="B450" s="12"/>
      <c r="C450" s="60"/>
    </row>
    <row r="451">
      <c r="A451" s="12"/>
      <c r="B451" s="12"/>
      <c r="C451" s="60"/>
    </row>
    <row r="452">
      <c r="A452" s="12"/>
      <c r="B452" s="12"/>
      <c r="C452" s="60"/>
    </row>
    <row r="453">
      <c r="A453" s="12"/>
      <c r="B453" s="12"/>
      <c r="C453" s="60"/>
    </row>
    <row r="454">
      <c r="A454" s="12"/>
      <c r="B454" s="12"/>
      <c r="C454" s="60"/>
    </row>
    <row r="455">
      <c r="A455" s="12"/>
      <c r="B455" s="12"/>
      <c r="C455" s="60"/>
    </row>
    <row r="456">
      <c r="A456" s="12"/>
      <c r="B456" s="12"/>
      <c r="C456" s="60"/>
    </row>
    <row r="457">
      <c r="A457" s="12"/>
      <c r="B457" s="12"/>
      <c r="C457" s="60"/>
    </row>
    <row r="458">
      <c r="A458" s="12"/>
      <c r="B458" s="12"/>
      <c r="C458" s="60"/>
    </row>
    <row r="459">
      <c r="A459" s="12"/>
      <c r="B459" s="12"/>
      <c r="C459" s="60"/>
    </row>
    <row r="460">
      <c r="A460" s="12"/>
      <c r="B460" s="12"/>
      <c r="C460" s="60"/>
    </row>
    <row r="461">
      <c r="A461" s="12"/>
      <c r="B461" s="12"/>
      <c r="C461" s="60"/>
    </row>
    <row r="462">
      <c r="A462" s="12"/>
      <c r="B462" s="12"/>
      <c r="C462" s="60"/>
    </row>
    <row r="463">
      <c r="A463" s="12"/>
      <c r="B463" s="12"/>
      <c r="C463" s="60"/>
    </row>
    <row r="464">
      <c r="A464" s="12"/>
      <c r="B464" s="12"/>
      <c r="C464" s="60"/>
    </row>
    <row r="465">
      <c r="A465" s="12"/>
      <c r="B465" s="12"/>
      <c r="C465" s="60"/>
    </row>
    <row r="466">
      <c r="A466" s="12"/>
      <c r="B466" s="12"/>
      <c r="C466" s="60"/>
    </row>
    <row r="467">
      <c r="A467" s="12"/>
      <c r="B467" s="12"/>
      <c r="C467" s="60"/>
    </row>
    <row r="468">
      <c r="A468" s="12"/>
      <c r="B468" s="12"/>
      <c r="C468" s="60"/>
    </row>
    <row r="469">
      <c r="A469" s="12"/>
      <c r="B469" s="12"/>
      <c r="C469" s="60"/>
    </row>
    <row r="470">
      <c r="A470" s="12"/>
      <c r="B470" s="12"/>
      <c r="C470" s="60"/>
    </row>
    <row r="471">
      <c r="A471" s="12"/>
      <c r="B471" s="12"/>
      <c r="C471" s="60"/>
    </row>
    <row r="472">
      <c r="A472" s="12"/>
      <c r="B472" s="12"/>
      <c r="C472" s="60"/>
    </row>
    <row r="473">
      <c r="A473" s="12"/>
      <c r="B473" s="12"/>
      <c r="C473" s="60"/>
    </row>
    <row r="474">
      <c r="A474" s="12"/>
      <c r="B474" s="12"/>
      <c r="C474" s="60"/>
    </row>
    <row r="475">
      <c r="A475" s="12"/>
      <c r="B475" s="12"/>
      <c r="C475" s="60"/>
    </row>
    <row r="476">
      <c r="A476" s="12"/>
      <c r="B476" s="12"/>
      <c r="C476" s="60"/>
    </row>
    <row r="477">
      <c r="A477" s="12"/>
      <c r="B477" s="12"/>
      <c r="C477" s="60"/>
    </row>
    <row r="478">
      <c r="A478" s="12"/>
      <c r="B478" s="12"/>
      <c r="C478" s="60"/>
    </row>
    <row r="479">
      <c r="A479" s="12"/>
      <c r="B479" s="12"/>
      <c r="C479" s="60"/>
    </row>
    <row r="480">
      <c r="A480" s="12"/>
      <c r="B480" s="12"/>
      <c r="C480" s="60"/>
    </row>
    <row r="481">
      <c r="A481" s="12"/>
      <c r="B481" s="12"/>
      <c r="C481" s="60"/>
    </row>
    <row r="482">
      <c r="A482" s="12"/>
      <c r="B482" s="12"/>
      <c r="C482" s="60"/>
    </row>
    <row r="483">
      <c r="A483" s="12"/>
      <c r="B483" s="12"/>
      <c r="C483" s="60"/>
    </row>
    <row r="484">
      <c r="A484" s="12"/>
      <c r="B484" s="12"/>
      <c r="C484" s="60"/>
    </row>
    <row r="485">
      <c r="A485" s="12"/>
      <c r="B485" s="12"/>
      <c r="C485" s="60"/>
    </row>
    <row r="486">
      <c r="A486" s="12"/>
      <c r="B486" s="12"/>
      <c r="C486" s="60"/>
    </row>
    <row r="487">
      <c r="A487" s="12"/>
      <c r="B487" s="12"/>
      <c r="C487" s="60"/>
    </row>
    <row r="488">
      <c r="A488" s="12"/>
      <c r="B488" s="12"/>
      <c r="C488" s="60"/>
    </row>
    <row r="489">
      <c r="A489" s="12"/>
      <c r="B489" s="12"/>
      <c r="C489" s="60"/>
    </row>
    <row r="490">
      <c r="A490" s="12"/>
      <c r="B490" s="12"/>
      <c r="C490" s="60"/>
    </row>
    <row r="491">
      <c r="A491" s="12"/>
      <c r="B491" s="12"/>
      <c r="C491" s="60"/>
    </row>
    <row r="492">
      <c r="A492" s="12"/>
      <c r="B492" s="12"/>
      <c r="C492" s="60"/>
    </row>
    <row r="493">
      <c r="A493" s="12"/>
      <c r="B493" s="12"/>
      <c r="C493" s="60"/>
    </row>
    <row r="494">
      <c r="A494" s="12"/>
      <c r="B494" s="12"/>
      <c r="C494" s="60"/>
    </row>
    <row r="495">
      <c r="A495" s="12"/>
      <c r="B495" s="12"/>
      <c r="C495" s="60"/>
    </row>
    <row r="496">
      <c r="A496" s="12"/>
      <c r="B496" s="12"/>
      <c r="C496" s="60"/>
    </row>
    <row r="497">
      <c r="A497" s="12"/>
      <c r="B497" s="12"/>
      <c r="C497" s="60"/>
    </row>
    <row r="498">
      <c r="A498" s="12"/>
      <c r="B498" s="12"/>
      <c r="C498" s="60"/>
    </row>
    <row r="499">
      <c r="A499" s="12"/>
      <c r="B499" s="12"/>
      <c r="C499" s="60"/>
    </row>
    <row r="500">
      <c r="A500" s="12"/>
      <c r="B500" s="12"/>
      <c r="C500" s="60"/>
    </row>
    <row r="501">
      <c r="A501" s="12"/>
      <c r="B501" s="12"/>
      <c r="C501" s="60"/>
    </row>
    <row r="502">
      <c r="A502" s="12"/>
      <c r="B502" s="12"/>
      <c r="C502" s="60"/>
    </row>
    <row r="503">
      <c r="A503" s="12"/>
      <c r="B503" s="12"/>
      <c r="C503" s="60"/>
    </row>
    <row r="504">
      <c r="A504" s="12"/>
      <c r="B504" s="12"/>
      <c r="C504" s="60"/>
    </row>
    <row r="505">
      <c r="A505" s="12"/>
      <c r="B505" s="12"/>
      <c r="C505" s="60"/>
    </row>
    <row r="506">
      <c r="A506" s="12"/>
      <c r="B506" s="12"/>
      <c r="C506" s="60"/>
    </row>
    <row r="507">
      <c r="A507" s="12"/>
      <c r="B507" s="12"/>
      <c r="C507" s="60"/>
    </row>
    <row r="508">
      <c r="A508" s="12"/>
      <c r="B508" s="12"/>
      <c r="C508" s="60"/>
    </row>
    <row r="509">
      <c r="A509" s="12"/>
      <c r="B509" s="12"/>
      <c r="C509" s="60"/>
    </row>
    <row r="510">
      <c r="A510" s="12"/>
      <c r="B510" s="12"/>
      <c r="C510" s="60"/>
    </row>
    <row r="511">
      <c r="A511" s="12"/>
      <c r="B511" s="12"/>
      <c r="C511" s="60"/>
    </row>
    <row r="512">
      <c r="A512" s="12"/>
      <c r="B512" s="12"/>
      <c r="C512" s="60"/>
    </row>
    <row r="513">
      <c r="A513" s="12"/>
      <c r="B513" s="12"/>
      <c r="C513" s="60"/>
    </row>
    <row r="514">
      <c r="A514" s="12"/>
      <c r="B514" s="12"/>
      <c r="C514" s="60"/>
    </row>
    <row r="515">
      <c r="A515" s="12"/>
      <c r="B515" s="12"/>
      <c r="C515" s="60"/>
    </row>
    <row r="516">
      <c r="A516" s="12"/>
      <c r="B516" s="12"/>
      <c r="C516" s="60"/>
    </row>
    <row r="517">
      <c r="A517" s="12"/>
      <c r="B517" s="12"/>
      <c r="C517" s="60"/>
    </row>
    <row r="518">
      <c r="A518" s="12"/>
      <c r="B518" s="12"/>
      <c r="C518" s="60"/>
    </row>
    <row r="519">
      <c r="A519" s="12"/>
      <c r="B519" s="12"/>
      <c r="C519" s="60"/>
    </row>
    <row r="520">
      <c r="A520" s="12"/>
      <c r="B520" s="12"/>
      <c r="C520" s="60"/>
    </row>
    <row r="521">
      <c r="A521" s="12"/>
      <c r="B521" s="12"/>
      <c r="C521" s="60"/>
    </row>
    <row r="522">
      <c r="A522" s="12"/>
      <c r="B522" s="12"/>
      <c r="C522" s="60"/>
    </row>
    <row r="523">
      <c r="A523" s="12"/>
      <c r="B523" s="12"/>
      <c r="C523" s="60"/>
    </row>
    <row r="524">
      <c r="A524" s="12"/>
      <c r="B524" s="12"/>
      <c r="C524" s="60"/>
    </row>
    <row r="525">
      <c r="A525" s="12"/>
      <c r="B525" s="12"/>
      <c r="C525" s="60"/>
    </row>
    <row r="526">
      <c r="A526" s="12"/>
      <c r="B526" s="12"/>
      <c r="C526" s="60"/>
    </row>
    <row r="527">
      <c r="A527" s="12"/>
      <c r="B527" s="12"/>
      <c r="C527" s="60"/>
    </row>
    <row r="528">
      <c r="A528" s="12"/>
      <c r="B528" s="12"/>
      <c r="C528" s="60"/>
    </row>
    <row r="529">
      <c r="A529" s="12"/>
      <c r="B529" s="12"/>
      <c r="C529" s="60"/>
    </row>
    <row r="530">
      <c r="A530" s="12"/>
      <c r="B530" s="12"/>
      <c r="C530" s="60"/>
    </row>
    <row r="531">
      <c r="A531" s="12"/>
      <c r="B531" s="12"/>
      <c r="C531" s="60"/>
    </row>
    <row r="532">
      <c r="A532" s="12"/>
      <c r="B532" s="12"/>
      <c r="C532" s="60"/>
    </row>
    <row r="533">
      <c r="A533" s="12"/>
      <c r="B533" s="12"/>
      <c r="C533" s="60"/>
    </row>
    <row r="534">
      <c r="A534" s="12"/>
      <c r="B534" s="12"/>
      <c r="C534" s="60"/>
    </row>
    <row r="535">
      <c r="A535" s="12"/>
      <c r="B535" s="12"/>
      <c r="C535" s="60"/>
    </row>
    <row r="536">
      <c r="A536" s="12"/>
      <c r="B536" s="12"/>
      <c r="C536" s="60"/>
    </row>
    <row r="537">
      <c r="A537" s="12"/>
      <c r="B537" s="12"/>
      <c r="C537" s="60"/>
    </row>
    <row r="538">
      <c r="A538" s="12"/>
      <c r="B538" s="12"/>
      <c r="C538" s="60"/>
    </row>
    <row r="539">
      <c r="A539" s="12"/>
      <c r="B539" s="12"/>
      <c r="C539" s="60"/>
    </row>
    <row r="540">
      <c r="A540" s="12"/>
      <c r="B540" s="12"/>
      <c r="C540" s="60"/>
    </row>
    <row r="541">
      <c r="A541" s="12"/>
      <c r="B541" s="12"/>
      <c r="C541" s="60"/>
    </row>
    <row r="542">
      <c r="A542" s="12"/>
      <c r="B542" s="12"/>
      <c r="C542" s="60"/>
    </row>
    <row r="543">
      <c r="A543" s="12"/>
      <c r="B543" s="12"/>
      <c r="C543" s="60"/>
    </row>
    <row r="544">
      <c r="A544" s="12"/>
      <c r="B544" s="12"/>
      <c r="C544" s="60"/>
    </row>
    <row r="545">
      <c r="A545" s="12"/>
      <c r="B545" s="12"/>
      <c r="C545" s="60"/>
    </row>
    <row r="546">
      <c r="A546" s="12"/>
      <c r="B546" s="12"/>
      <c r="C546" s="60"/>
    </row>
    <row r="547">
      <c r="A547" s="12"/>
      <c r="B547" s="12"/>
      <c r="C547" s="60"/>
    </row>
    <row r="548">
      <c r="A548" s="12"/>
      <c r="B548" s="12"/>
      <c r="C548" s="60"/>
    </row>
    <row r="549">
      <c r="A549" s="12"/>
      <c r="B549" s="12"/>
      <c r="C549" s="60"/>
    </row>
    <row r="550">
      <c r="A550" s="12"/>
      <c r="B550" s="12"/>
      <c r="C550" s="60"/>
    </row>
    <row r="551">
      <c r="A551" s="12"/>
      <c r="B551" s="12"/>
      <c r="C551" s="60"/>
    </row>
    <row r="552">
      <c r="A552" s="12"/>
      <c r="B552" s="12"/>
      <c r="C552" s="60"/>
    </row>
    <row r="553">
      <c r="A553" s="12"/>
      <c r="B553" s="12"/>
      <c r="C553" s="60"/>
    </row>
    <row r="554">
      <c r="A554" s="12"/>
      <c r="B554" s="12"/>
      <c r="C554" s="60"/>
    </row>
    <row r="555">
      <c r="A555" s="12"/>
      <c r="B555" s="12"/>
      <c r="C555" s="60"/>
    </row>
    <row r="556">
      <c r="A556" s="12"/>
      <c r="B556" s="12"/>
      <c r="C556" s="60"/>
    </row>
    <row r="557">
      <c r="A557" s="12"/>
      <c r="B557" s="12"/>
      <c r="C557" s="60"/>
    </row>
    <row r="558">
      <c r="A558" s="12"/>
      <c r="B558" s="12"/>
      <c r="C558" s="60"/>
    </row>
    <row r="559">
      <c r="A559" s="12"/>
      <c r="B559" s="12"/>
      <c r="C559" s="60"/>
    </row>
    <row r="560">
      <c r="A560" s="12"/>
      <c r="B560" s="12"/>
      <c r="C560" s="60"/>
    </row>
    <row r="561">
      <c r="A561" s="12"/>
      <c r="B561" s="12"/>
      <c r="C561" s="60"/>
    </row>
    <row r="562">
      <c r="A562" s="12"/>
      <c r="B562" s="12"/>
      <c r="C562" s="60"/>
    </row>
    <row r="563">
      <c r="A563" s="12"/>
      <c r="B563" s="12"/>
      <c r="C563" s="60"/>
    </row>
    <row r="564">
      <c r="A564" s="12"/>
      <c r="B564" s="12"/>
      <c r="C564" s="60"/>
    </row>
    <row r="565">
      <c r="A565" s="12"/>
      <c r="B565" s="12"/>
      <c r="C565" s="60"/>
    </row>
    <row r="566">
      <c r="A566" s="12"/>
      <c r="B566" s="12"/>
      <c r="C566" s="60"/>
    </row>
    <row r="567">
      <c r="A567" s="12"/>
      <c r="B567" s="12"/>
      <c r="C567" s="60"/>
    </row>
    <row r="568">
      <c r="A568" s="12"/>
      <c r="B568" s="12"/>
      <c r="C568" s="60"/>
    </row>
    <row r="569">
      <c r="A569" s="12"/>
      <c r="B569" s="12"/>
      <c r="C569" s="60"/>
    </row>
    <row r="570">
      <c r="A570" s="12"/>
      <c r="B570" s="12"/>
      <c r="C570" s="60"/>
    </row>
    <row r="571">
      <c r="A571" s="12"/>
      <c r="B571" s="12"/>
      <c r="C571" s="60"/>
    </row>
    <row r="572">
      <c r="A572" s="12"/>
      <c r="B572" s="12"/>
      <c r="C572" s="60"/>
    </row>
    <row r="573">
      <c r="A573" s="12"/>
      <c r="B573" s="12"/>
      <c r="C573" s="60"/>
    </row>
    <row r="574">
      <c r="A574" s="12"/>
      <c r="B574" s="12"/>
      <c r="C574" s="60"/>
    </row>
    <row r="575">
      <c r="A575" s="12"/>
      <c r="B575" s="12"/>
      <c r="C575" s="60"/>
    </row>
    <row r="576">
      <c r="A576" s="12"/>
      <c r="B576" s="12"/>
      <c r="C576" s="60"/>
    </row>
    <row r="577">
      <c r="A577" s="12"/>
      <c r="B577" s="12"/>
      <c r="C577" s="60"/>
    </row>
    <row r="578">
      <c r="A578" s="12"/>
      <c r="B578" s="12"/>
      <c r="C578" s="60"/>
    </row>
    <row r="579">
      <c r="A579" s="12"/>
      <c r="B579" s="12"/>
      <c r="C579" s="60"/>
    </row>
    <row r="580">
      <c r="A580" s="12"/>
      <c r="B580" s="12"/>
      <c r="C580" s="60"/>
    </row>
    <row r="581">
      <c r="A581" s="12"/>
      <c r="B581" s="12"/>
      <c r="C581" s="60"/>
    </row>
    <row r="582">
      <c r="A582" s="12"/>
      <c r="B582" s="12"/>
      <c r="C582" s="60"/>
    </row>
    <row r="583">
      <c r="A583" s="12"/>
      <c r="B583" s="12"/>
      <c r="C583" s="60"/>
    </row>
    <row r="584">
      <c r="A584" s="12"/>
      <c r="B584" s="12"/>
      <c r="C584" s="60"/>
    </row>
    <row r="585">
      <c r="A585" s="12"/>
      <c r="B585" s="12"/>
      <c r="C585" s="60"/>
    </row>
    <row r="586">
      <c r="A586" s="12"/>
      <c r="B586" s="12"/>
      <c r="C586" s="60"/>
    </row>
    <row r="587">
      <c r="A587" s="12"/>
      <c r="B587" s="12"/>
      <c r="C587" s="60"/>
    </row>
    <row r="588">
      <c r="A588" s="12"/>
      <c r="B588" s="12"/>
      <c r="C588" s="60"/>
    </row>
    <row r="589">
      <c r="A589" s="12"/>
      <c r="B589" s="12"/>
      <c r="C589" s="60"/>
    </row>
    <row r="590">
      <c r="A590" s="12"/>
      <c r="B590" s="12"/>
      <c r="C590" s="60"/>
    </row>
    <row r="591">
      <c r="A591" s="12"/>
      <c r="B591" s="12"/>
      <c r="C591" s="60"/>
    </row>
    <row r="592">
      <c r="A592" s="12"/>
      <c r="B592" s="12"/>
      <c r="C592" s="60"/>
    </row>
    <row r="593">
      <c r="A593" s="12"/>
      <c r="B593" s="12"/>
      <c r="C593" s="60"/>
    </row>
    <row r="594">
      <c r="A594" s="12"/>
      <c r="B594" s="12"/>
      <c r="C594" s="60"/>
    </row>
    <row r="595">
      <c r="A595" s="12"/>
      <c r="B595" s="12"/>
      <c r="C595" s="60"/>
    </row>
    <row r="596">
      <c r="A596" s="12"/>
      <c r="B596" s="12"/>
      <c r="C596" s="60"/>
    </row>
    <row r="597">
      <c r="A597" s="12"/>
      <c r="B597" s="12"/>
      <c r="C597" s="60"/>
    </row>
    <row r="598">
      <c r="A598" s="12"/>
      <c r="B598" s="12"/>
      <c r="C598" s="60"/>
    </row>
    <row r="599">
      <c r="A599" s="12"/>
      <c r="B599" s="12"/>
      <c r="C599" s="60"/>
    </row>
    <row r="600">
      <c r="A600" s="12"/>
      <c r="B600" s="12"/>
      <c r="C600" s="60"/>
    </row>
    <row r="601">
      <c r="A601" s="12"/>
      <c r="B601" s="12"/>
      <c r="C601" s="60"/>
    </row>
    <row r="602">
      <c r="A602" s="12"/>
      <c r="B602" s="12"/>
      <c r="C602" s="60"/>
    </row>
    <row r="603">
      <c r="A603" s="12"/>
      <c r="B603" s="12"/>
      <c r="C603" s="60"/>
    </row>
    <row r="604">
      <c r="A604" s="12"/>
      <c r="B604" s="12"/>
      <c r="C604" s="60"/>
    </row>
    <row r="605">
      <c r="A605" s="12"/>
      <c r="B605" s="12"/>
      <c r="C605" s="60"/>
    </row>
    <row r="606">
      <c r="A606" s="12"/>
      <c r="B606" s="12"/>
      <c r="C606" s="60"/>
    </row>
    <row r="607">
      <c r="A607" s="12"/>
      <c r="B607" s="12"/>
      <c r="C607" s="60"/>
    </row>
    <row r="608">
      <c r="A608" s="12"/>
      <c r="B608" s="12"/>
      <c r="C608" s="60"/>
    </row>
    <row r="609">
      <c r="A609" s="12"/>
      <c r="B609" s="12"/>
      <c r="C609" s="60"/>
    </row>
    <row r="610">
      <c r="A610" s="12"/>
      <c r="B610" s="12"/>
      <c r="C610" s="60"/>
    </row>
    <row r="611">
      <c r="A611" s="12"/>
      <c r="B611" s="12"/>
      <c r="C611" s="60"/>
    </row>
    <row r="612">
      <c r="A612" s="12"/>
      <c r="B612" s="12"/>
      <c r="C612" s="60"/>
    </row>
    <row r="613">
      <c r="A613" s="12"/>
      <c r="B613" s="12"/>
      <c r="C613" s="60"/>
    </row>
    <row r="614">
      <c r="A614" s="12"/>
      <c r="B614" s="12"/>
      <c r="C614" s="60"/>
    </row>
    <row r="615">
      <c r="A615" s="12"/>
      <c r="B615" s="12"/>
      <c r="C615" s="60"/>
    </row>
    <row r="616">
      <c r="A616" s="12"/>
      <c r="B616" s="12"/>
      <c r="C616" s="60"/>
    </row>
    <row r="617">
      <c r="A617" s="12"/>
      <c r="B617" s="12"/>
      <c r="C617" s="60"/>
    </row>
    <row r="618">
      <c r="A618" s="12"/>
      <c r="B618" s="12"/>
      <c r="C618" s="60"/>
    </row>
    <row r="619">
      <c r="A619" s="12"/>
      <c r="B619" s="12"/>
      <c r="C619" s="60"/>
    </row>
    <row r="620">
      <c r="A620" s="12"/>
      <c r="B620" s="12"/>
      <c r="C620" s="60"/>
    </row>
    <row r="621">
      <c r="A621" s="12"/>
      <c r="B621" s="12"/>
      <c r="C621" s="60"/>
    </row>
    <row r="622">
      <c r="A622" s="12"/>
      <c r="B622" s="12"/>
      <c r="C622" s="60"/>
    </row>
    <row r="623">
      <c r="A623" s="12"/>
      <c r="B623" s="12"/>
      <c r="C623" s="60"/>
    </row>
    <row r="624">
      <c r="A624" s="12"/>
      <c r="B624" s="12"/>
      <c r="C624" s="60"/>
    </row>
    <row r="625">
      <c r="A625" s="12"/>
      <c r="B625" s="12"/>
      <c r="C625" s="60"/>
    </row>
    <row r="626">
      <c r="A626" s="12"/>
      <c r="B626" s="12"/>
      <c r="C626" s="60"/>
    </row>
    <row r="627">
      <c r="A627" s="12"/>
      <c r="B627" s="12"/>
      <c r="C627" s="60"/>
    </row>
    <row r="628">
      <c r="A628" s="12"/>
      <c r="B628" s="12"/>
      <c r="C628" s="60"/>
    </row>
    <row r="629">
      <c r="A629" s="12"/>
      <c r="B629" s="12"/>
      <c r="C629" s="60"/>
    </row>
    <row r="630">
      <c r="A630" s="12"/>
      <c r="B630" s="12"/>
      <c r="C630" s="60"/>
    </row>
    <row r="631">
      <c r="A631" s="12"/>
      <c r="B631" s="12"/>
      <c r="C631" s="60"/>
    </row>
    <row r="632">
      <c r="A632" s="12"/>
      <c r="B632" s="12"/>
      <c r="C632" s="60"/>
    </row>
    <row r="633">
      <c r="A633" s="12"/>
      <c r="B633" s="12"/>
      <c r="C633" s="60"/>
    </row>
    <row r="634">
      <c r="A634" s="12"/>
      <c r="B634" s="12"/>
      <c r="C634" s="60"/>
    </row>
    <row r="635">
      <c r="A635" s="12"/>
      <c r="B635" s="12"/>
      <c r="C635" s="60"/>
    </row>
    <row r="636">
      <c r="A636" s="12"/>
      <c r="B636" s="12"/>
      <c r="C636" s="60"/>
    </row>
    <row r="637">
      <c r="A637" s="12"/>
      <c r="B637" s="12"/>
      <c r="C637" s="60"/>
    </row>
    <row r="638">
      <c r="A638" s="12"/>
      <c r="B638" s="12"/>
      <c r="C638" s="60"/>
    </row>
    <row r="639">
      <c r="A639" s="12"/>
      <c r="B639" s="12"/>
      <c r="C639" s="60"/>
    </row>
    <row r="640">
      <c r="A640" s="12"/>
      <c r="B640" s="12"/>
      <c r="C640" s="60"/>
    </row>
    <row r="641">
      <c r="A641" s="12"/>
      <c r="B641" s="12"/>
      <c r="C641" s="60"/>
    </row>
    <row r="642">
      <c r="A642" s="12"/>
      <c r="B642" s="12"/>
      <c r="C642" s="60"/>
    </row>
    <row r="643">
      <c r="A643" s="12"/>
      <c r="B643" s="12"/>
      <c r="C643" s="60"/>
    </row>
    <row r="644">
      <c r="A644" s="12"/>
      <c r="B644" s="12"/>
      <c r="C644" s="60"/>
    </row>
    <row r="645">
      <c r="A645" s="12"/>
      <c r="B645" s="12"/>
      <c r="C645" s="60"/>
    </row>
    <row r="646">
      <c r="A646" s="12"/>
      <c r="B646" s="12"/>
      <c r="C646" s="60"/>
    </row>
    <row r="647">
      <c r="A647" s="12"/>
      <c r="B647" s="12"/>
      <c r="C647" s="60"/>
    </row>
    <row r="648">
      <c r="A648" s="12"/>
      <c r="B648" s="12"/>
      <c r="C648" s="60"/>
    </row>
    <row r="649">
      <c r="A649" s="12"/>
      <c r="B649" s="12"/>
      <c r="C649" s="60"/>
    </row>
    <row r="650">
      <c r="A650" s="12"/>
      <c r="B650" s="12"/>
      <c r="C650" s="60"/>
    </row>
    <row r="651">
      <c r="A651" s="12"/>
      <c r="B651" s="12"/>
      <c r="C651" s="60"/>
    </row>
    <row r="652">
      <c r="A652" s="12"/>
      <c r="B652" s="12"/>
      <c r="C652" s="60"/>
    </row>
    <row r="653">
      <c r="A653" s="12"/>
      <c r="B653" s="12"/>
      <c r="C653" s="60"/>
    </row>
    <row r="654">
      <c r="A654" s="12"/>
      <c r="B654" s="12"/>
      <c r="C654" s="60"/>
    </row>
    <row r="655">
      <c r="A655" s="12"/>
      <c r="B655" s="12"/>
      <c r="C655" s="60"/>
    </row>
    <row r="656">
      <c r="A656" s="12"/>
      <c r="B656" s="12"/>
      <c r="C656" s="60"/>
    </row>
    <row r="657">
      <c r="A657" s="12"/>
      <c r="B657" s="12"/>
      <c r="C657" s="60"/>
    </row>
    <row r="658">
      <c r="A658" s="12"/>
      <c r="B658" s="12"/>
      <c r="C658" s="60"/>
    </row>
    <row r="659">
      <c r="A659" s="12"/>
      <c r="B659" s="12"/>
      <c r="C659" s="60"/>
    </row>
    <row r="660">
      <c r="A660" s="12"/>
      <c r="B660" s="12"/>
      <c r="C660" s="60"/>
    </row>
    <row r="661">
      <c r="A661" s="12"/>
      <c r="B661" s="12"/>
      <c r="C661" s="60"/>
    </row>
    <row r="662">
      <c r="A662" s="12"/>
      <c r="B662" s="12"/>
      <c r="C662" s="60"/>
    </row>
    <row r="663">
      <c r="A663" s="12"/>
      <c r="B663" s="12"/>
      <c r="C663" s="60"/>
    </row>
    <row r="664">
      <c r="A664" s="12"/>
      <c r="B664" s="12"/>
      <c r="C664" s="60"/>
    </row>
    <row r="665">
      <c r="A665" s="12"/>
      <c r="B665" s="12"/>
      <c r="C665" s="60"/>
    </row>
    <row r="666">
      <c r="A666" s="12"/>
      <c r="B666" s="12"/>
      <c r="C666" s="60"/>
    </row>
    <row r="667">
      <c r="A667" s="12"/>
      <c r="B667" s="12"/>
      <c r="C667" s="60"/>
    </row>
    <row r="668">
      <c r="A668" s="12"/>
      <c r="B668" s="12"/>
      <c r="C668" s="60"/>
    </row>
    <row r="669">
      <c r="A669" s="12"/>
      <c r="B669" s="12"/>
      <c r="C669" s="60"/>
    </row>
    <row r="670">
      <c r="A670" s="12"/>
      <c r="B670" s="12"/>
      <c r="C670" s="60"/>
    </row>
    <row r="671">
      <c r="A671" s="12"/>
      <c r="B671" s="12"/>
      <c r="C671" s="60"/>
    </row>
    <row r="672">
      <c r="A672" s="12"/>
      <c r="B672" s="12"/>
      <c r="C672" s="60"/>
    </row>
    <row r="673">
      <c r="A673" s="12"/>
      <c r="B673" s="12"/>
      <c r="C673" s="60"/>
    </row>
    <row r="674">
      <c r="A674" s="12"/>
      <c r="B674" s="12"/>
      <c r="C674" s="60"/>
    </row>
    <row r="675">
      <c r="A675" s="12"/>
      <c r="B675" s="12"/>
      <c r="C675" s="60"/>
    </row>
    <row r="676">
      <c r="A676" s="12"/>
      <c r="B676" s="12"/>
      <c r="C676" s="60"/>
    </row>
    <row r="677">
      <c r="A677" s="12"/>
      <c r="B677" s="12"/>
      <c r="C677" s="60"/>
    </row>
    <row r="678">
      <c r="A678" s="12"/>
      <c r="B678" s="12"/>
      <c r="C678" s="60"/>
    </row>
    <row r="679">
      <c r="A679" s="12"/>
      <c r="B679" s="12"/>
      <c r="C679" s="60"/>
    </row>
    <row r="680">
      <c r="A680" s="12"/>
      <c r="B680" s="12"/>
      <c r="C680" s="60"/>
    </row>
    <row r="681">
      <c r="A681" s="12"/>
      <c r="B681" s="12"/>
      <c r="C681" s="60"/>
    </row>
    <row r="682">
      <c r="A682" s="12"/>
      <c r="B682" s="12"/>
      <c r="C682" s="60"/>
    </row>
    <row r="683">
      <c r="A683" s="12"/>
      <c r="B683" s="12"/>
      <c r="C683" s="60"/>
    </row>
    <row r="684">
      <c r="A684" s="12"/>
      <c r="B684" s="12"/>
      <c r="C684" s="60"/>
    </row>
    <row r="685">
      <c r="A685" s="12"/>
      <c r="B685" s="12"/>
      <c r="C685" s="60"/>
    </row>
    <row r="686">
      <c r="A686" s="12"/>
      <c r="B686" s="12"/>
      <c r="C686" s="60"/>
    </row>
    <row r="687">
      <c r="A687" s="12"/>
      <c r="B687" s="12"/>
      <c r="C687" s="60"/>
    </row>
    <row r="688">
      <c r="A688" s="12"/>
      <c r="B688" s="12"/>
      <c r="C688" s="60"/>
    </row>
    <row r="689">
      <c r="A689" s="12"/>
      <c r="B689" s="12"/>
      <c r="C689" s="60"/>
    </row>
    <row r="690">
      <c r="A690" s="12"/>
      <c r="B690" s="12"/>
      <c r="C690" s="60"/>
    </row>
    <row r="691">
      <c r="A691" s="12"/>
      <c r="B691" s="12"/>
      <c r="C691" s="60"/>
    </row>
    <row r="692">
      <c r="A692" s="12"/>
      <c r="B692" s="12"/>
      <c r="C692" s="60"/>
    </row>
    <row r="693">
      <c r="A693" s="12"/>
      <c r="B693" s="12"/>
      <c r="C693" s="60"/>
    </row>
    <row r="694">
      <c r="A694" s="12"/>
      <c r="B694" s="12"/>
      <c r="C694" s="60"/>
    </row>
    <row r="695">
      <c r="A695" s="12"/>
      <c r="B695" s="12"/>
      <c r="C695" s="60"/>
    </row>
    <row r="696">
      <c r="A696" s="12"/>
      <c r="B696" s="12"/>
      <c r="C696" s="60"/>
    </row>
    <row r="697">
      <c r="A697" s="12"/>
      <c r="B697" s="12"/>
      <c r="C697" s="60"/>
    </row>
    <row r="698">
      <c r="A698" s="12"/>
      <c r="B698" s="12"/>
      <c r="C698" s="60"/>
    </row>
    <row r="699">
      <c r="A699" s="12"/>
      <c r="B699" s="12"/>
      <c r="C699" s="60"/>
    </row>
    <row r="700">
      <c r="A700" s="12"/>
      <c r="B700" s="12"/>
      <c r="C700" s="60"/>
    </row>
    <row r="701">
      <c r="A701" s="12"/>
      <c r="B701" s="12"/>
      <c r="C701" s="60"/>
    </row>
    <row r="702">
      <c r="A702" s="12"/>
      <c r="B702" s="12"/>
      <c r="C702" s="60"/>
    </row>
    <row r="703">
      <c r="A703" s="12"/>
      <c r="B703" s="12"/>
      <c r="C703" s="60"/>
    </row>
    <row r="704">
      <c r="A704" s="12"/>
      <c r="B704" s="12"/>
      <c r="C704" s="60"/>
    </row>
    <row r="705">
      <c r="A705" s="12"/>
      <c r="B705" s="12"/>
      <c r="C705" s="60"/>
    </row>
    <row r="706">
      <c r="A706" s="12"/>
      <c r="B706" s="12"/>
      <c r="C706" s="60"/>
    </row>
    <row r="707">
      <c r="A707" s="12"/>
      <c r="B707" s="12"/>
      <c r="C707" s="60"/>
    </row>
    <row r="708">
      <c r="A708" s="12"/>
      <c r="B708" s="12"/>
      <c r="C708" s="60"/>
    </row>
    <row r="709">
      <c r="A709" s="12"/>
      <c r="B709" s="12"/>
      <c r="C709" s="60"/>
    </row>
    <row r="710">
      <c r="A710" s="12"/>
      <c r="B710" s="12"/>
      <c r="C710" s="60"/>
    </row>
    <row r="711">
      <c r="A711" s="12"/>
      <c r="B711" s="12"/>
      <c r="C711" s="60"/>
    </row>
    <row r="712">
      <c r="A712" s="12"/>
      <c r="B712" s="12"/>
      <c r="C712" s="60"/>
    </row>
    <row r="713">
      <c r="A713" s="12"/>
      <c r="B713" s="12"/>
      <c r="C713" s="60"/>
    </row>
    <row r="714">
      <c r="A714" s="12"/>
      <c r="B714" s="12"/>
      <c r="C714" s="60"/>
    </row>
    <row r="715">
      <c r="A715" s="12"/>
      <c r="B715" s="12"/>
      <c r="C715" s="60"/>
    </row>
    <row r="716">
      <c r="A716" s="12"/>
      <c r="B716" s="12"/>
      <c r="C716" s="60"/>
    </row>
    <row r="717">
      <c r="A717" s="12"/>
      <c r="B717" s="12"/>
      <c r="C717" s="60"/>
    </row>
    <row r="718">
      <c r="A718" s="12"/>
      <c r="B718" s="12"/>
      <c r="C718" s="60"/>
    </row>
    <row r="719">
      <c r="A719" s="12"/>
      <c r="B719" s="12"/>
      <c r="C719" s="60"/>
    </row>
    <row r="720">
      <c r="A720" s="12"/>
      <c r="B720" s="12"/>
      <c r="C720" s="60"/>
    </row>
    <row r="721">
      <c r="A721" s="12"/>
      <c r="B721" s="12"/>
      <c r="C721" s="60"/>
    </row>
    <row r="722">
      <c r="A722" s="12"/>
      <c r="B722" s="12"/>
      <c r="C722" s="60"/>
    </row>
    <row r="723">
      <c r="A723" s="12"/>
      <c r="B723" s="12"/>
      <c r="C723" s="60"/>
    </row>
    <row r="724">
      <c r="A724" s="12"/>
      <c r="B724" s="12"/>
      <c r="C724" s="60"/>
    </row>
    <row r="725">
      <c r="A725" s="12"/>
      <c r="B725" s="12"/>
      <c r="C725" s="60"/>
    </row>
    <row r="726">
      <c r="A726" s="12"/>
      <c r="B726" s="12"/>
      <c r="C726" s="60"/>
    </row>
    <row r="727">
      <c r="A727" s="12"/>
      <c r="B727" s="12"/>
      <c r="C727" s="60"/>
    </row>
    <row r="728">
      <c r="A728" s="12"/>
      <c r="B728" s="12"/>
      <c r="C728" s="60"/>
    </row>
    <row r="729">
      <c r="A729" s="12"/>
      <c r="B729" s="12"/>
      <c r="C729" s="60"/>
    </row>
    <row r="730">
      <c r="A730" s="12"/>
      <c r="B730" s="12"/>
      <c r="C730" s="60"/>
    </row>
    <row r="731">
      <c r="A731" s="12"/>
      <c r="B731" s="12"/>
      <c r="C731" s="60"/>
    </row>
    <row r="732">
      <c r="A732" s="12"/>
      <c r="B732" s="12"/>
      <c r="C732" s="60"/>
    </row>
    <row r="733">
      <c r="A733" s="12"/>
      <c r="B733" s="12"/>
      <c r="C733" s="60"/>
    </row>
    <row r="734">
      <c r="A734" s="12"/>
      <c r="B734" s="12"/>
      <c r="C734" s="60"/>
    </row>
    <row r="735">
      <c r="A735" s="12"/>
      <c r="B735" s="12"/>
      <c r="C735" s="60"/>
    </row>
    <row r="736">
      <c r="A736" s="12"/>
      <c r="B736" s="12"/>
      <c r="C736" s="60"/>
    </row>
    <row r="737">
      <c r="A737" s="12"/>
      <c r="B737" s="12"/>
      <c r="C737" s="60"/>
    </row>
    <row r="738">
      <c r="A738" s="12"/>
      <c r="B738" s="12"/>
      <c r="C738" s="60"/>
    </row>
    <row r="739">
      <c r="A739" s="12"/>
      <c r="B739" s="12"/>
      <c r="C739" s="60"/>
    </row>
    <row r="740">
      <c r="A740" s="12"/>
      <c r="B740" s="12"/>
      <c r="C740" s="60"/>
    </row>
    <row r="741">
      <c r="A741" s="12"/>
      <c r="B741" s="12"/>
      <c r="C741" s="60"/>
    </row>
    <row r="742">
      <c r="A742" s="12"/>
      <c r="B742" s="12"/>
      <c r="C742" s="60"/>
    </row>
    <row r="743">
      <c r="A743" s="12"/>
      <c r="B743" s="12"/>
      <c r="C743" s="60"/>
    </row>
    <row r="744">
      <c r="A744" s="12"/>
      <c r="B744" s="12"/>
      <c r="C744" s="60"/>
    </row>
    <row r="745">
      <c r="A745" s="12"/>
      <c r="B745" s="12"/>
      <c r="C745" s="60"/>
    </row>
    <row r="746">
      <c r="A746" s="12"/>
      <c r="B746" s="12"/>
      <c r="C746" s="60"/>
    </row>
    <row r="747">
      <c r="A747" s="12"/>
      <c r="B747" s="12"/>
      <c r="C747" s="60"/>
    </row>
    <row r="748">
      <c r="A748" s="12"/>
      <c r="B748" s="12"/>
      <c r="C748" s="60"/>
    </row>
    <row r="749">
      <c r="A749" s="12"/>
      <c r="B749" s="12"/>
      <c r="C749" s="60"/>
    </row>
    <row r="750">
      <c r="A750" s="12"/>
      <c r="B750" s="12"/>
      <c r="C750" s="60"/>
    </row>
    <row r="751">
      <c r="A751" s="12"/>
      <c r="B751" s="12"/>
      <c r="C751" s="60"/>
    </row>
    <row r="752">
      <c r="A752" s="12"/>
      <c r="B752" s="12"/>
      <c r="C752" s="60"/>
    </row>
    <row r="753">
      <c r="A753" s="12"/>
      <c r="B753" s="12"/>
      <c r="C753" s="60"/>
    </row>
    <row r="754">
      <c r="A754" s="12"/>
      <c r="B754" s="12"/>
      <c r="C754" s="60"/>
    </row>
    <row r="755">
      <c r="A755" s="12"/>
      <c r="B755" s="12"/>
      <c r="C755" s="60"/>
    </row>
    <row r="756">
      <c r="A756" s="12"/>
      <c r="B756" s="12"/>
      <c r="C756" s="60"/>
    </row>
    <row r="757">
      <c r="A757" s="12"/>
      <c r="B757" s="12"/>
      <c r="C757" s="60"/>
    </row>
    <row r="758">
      <c r="A758" s="12"/>
      <c r="B758" s="12"/>
      <c r="C758" s="60"/>
    </row>
    <row r="759">
      <c r="A759" s="12"/>
      <c r="B759" s="12"/>
      <c r="C759" s="60"/>
    </row>
    <row r="760">
      <c r="A760" s="12"/>
      <c r="B760" s="12"/>
      <c r="C760" s="60"/>
    </row>
    <row r="761">
      <c r="A761" s="12"/>
      <c r="B761" s="12"/>
      <c r="C761" s="60"/>
    </row>
    <row r="762">
      <c r="A762" s="12"/>
      <c r="B762" s="12"/>
      <c r="C762" s="60"/>
    </row>
    <row r="763">
      <c r="A763" s="12"/>
      <c r="B763" s="12"/>
      <c r="C763" s="60"/>
    </row>
    <row r="764">
      <c r="A764" s="12"/>
      <c r="B764" s="12"/>
      <c r="C764" s="60"/>
    </row>
    <row r="765">
      <c r="A765" s="12"/>
      <c r="B765" s="12"/>
      <c r="C765" s="60"/>
    </row>
    <row r="766">
      <c r="A766" s="12"/>
      <c r="B766" s="12"/>
      <c r="C766" s="60"/>
    </row>
    <row r="767">
      <c r="A767" s="12"/>
      <c r="B767" s="12"/>
      <c r="C767" s="60"/>
    </row>
    <row r="768">
      <c r="A768" s="12"/>
      <c r="B768" s="12"/>
      <c r="C768" s="60"/>
    </row>
    <row r="769">
      <c r="A769" s="12"/>
      <c r="B769" s="12"/>
      <c r="C769" s="60"/>
    </row>
    <row r="770">
      <c r="A770" s="12"/>
      <c r="B770" s="12"/>
      <c r="C770" s="60"/>
    </row>
    <row r="771">
      <c r="A771" s="12"/>
      <c r="B771" s="12"/>
      <c r="C771" s="60"/>
    </row>
    <row r="772">
      <c r="A772" s="12"/>
      <c r="B772" s="12"/>
      <c r="C772" s="60"/>
    </row>
    <row r="773">
      <c r="A773" s="12"/>
      <c r="B773" s="12"/>
      <c r="C773" s="60"/>
    </row>
    <row r="774">
      <c r="A774" s="12"/>
      <c r="B774" s="12"/>
      <c r="C774" s="60"/>
    </row>
    <row r="775">
      <c r="A775" s="12"/>
      <c r="B775" s="12"/>
      <c r="C775" s="60"/>
    </row>
    <row r="776">
      <c r="A776" s="12"/>
      <c r="B776" s="12"/>
      <c r="C776" s="60"/>
    </row>
    <row r="777">
      <c r="A777" s="12"/>
      <c r="B777" s="12"/>
      <c r="C777" s="60"/>
    </row>
    <row r="778">
      <c r="A778" s="12"/>
      <c r="B778" s="12"/>
      <c r="C778" s="60"/>
    </row>
    <row r="779">
      <c r="A779" s="12"/>
      <c r="B779" s="12"/>
      <c r="C779" s="60"/>
    </row>
    <row r="780">
      <c r="A780" s="12"/>
      <c r="B780" s="12"/>
      <c r="C780" s="60"/>
    </row>
    <row r="781">
      <c r="A781" s="12"/>
      <c r="B781" s="12"/>
      <c r="C781" s="60"/>
    </row>
    <row r="782">
      <c r="A782" s="12"/>
      <c r="B782" s="12"/>
      <c r="C782" s="60"/>
    </row>
    <row r="783">
      <c r="A783" s="12"/>
      <c r="B783" s="12"/>
      <c r="C783" s="60"/>
    </row>
    <row r="784">
      <c r="A784" s="12"/>
      <c r="B784" s="12"/>
      <c r="C784" s="60"/>
    </row>
    <row r="785">
      <c r="A785" s="12"/>
      <c r="B785" s="12"/>
      <c r="C785" s="60"/>
    </row>
    <row r="786">
      <c r="A786" s="12"/>
      <c r="B786" s="12"/>
      <c r="C786" s="60"/>
    </row>
    <row r="787">
      <c r="A787" s="12"/>
      <c r="B787" s="12"/>
      <c r="C787" s="60"/>
    </row>
    <row r="788">
      <c r="A788" s="12"/>
      <c r="B788" s="12"/>
      <c r="C788" s="60"/>
    </row>
    <row r="789">
      <c r="A789" s="12"/>
      <c r="B789" s="12"/>
      <c r="C789" s="60"/>
    </row>
    <row r="790">
      <c r="A790" s="12"/>
      <c r="B790" s="12"/>
      <c r="C790" s="60"/>
    </row>
    <row r="791">
      <c r="A791" s="12"/>
      <c r="B791" s="12"/>
      <c r="C791" s="60"/>
    </row>
    <row r="792">
      <c r="A792" s="12"/>
      <c r="B792" s="12"/>
      <c r="C792" s="60"/>
    </row>
    <row r="793">
      <c r="A793" s="12"/>
      <c r="B793" s="12"/>
      <c r="C793" s="60"/>
    </row>
    <row r="794">
      <c r="A794" s="12"/>
      <c r="B794" s="12"/>
      <c r="C794" s="60"/>
    </row>
    <row r="795">
      <c r="A795" s="12"/>
      <c r="B795" s="12"/>
      <c r="C795" s="60"/>
    </row>
    <row r="796">
      <c r="A796" s="12"/>
      <c r="B796" s="12"/>
      <c r="C796" s="60"/>
    </row>
    <row r="797">
      <c r="A797" s="12"/>
      <c r="B797" s="12"/>
      <c r="C797" s="60"/>
    </row>
    <row r="798">
      <c r="A798" s="12"/>
      <c r="B798" s="12"/>
      <c r="C798" s="60"/>
    </row>
    <row r="799">
      <c r="A799" s="12"/>
      <c r="B799" s="12"/>
      <c r="C799" s="60"/>
    </row>
    <row r="800">
      <c r="A800" s="12"/>
      <c r="B800" s="12"/>
      <c r="C800" s="60"/>
    </row>
    <row r="801">
      <c r="A801" s="12"/>
      <c r="B801" s="12"/>
      <c r="C801" s="60"/>
    </row>
    <row r="802">
      <c r="A802" s="12"/>
      <c r="B802" s="12"/>
      <c r="C802" s="60"/>
    </row>
    <row r="803">
      <c r="A803" s="12"/>
      <c r="B803" s="12"/>
      <c r="C803" s="60"/>
    </row>
    <row r="804">
      <c r="A804" s="12"/>
      <c r="B804" s="12"/>
      <c r="C804" s="60"/>
    </row>
    <row r="805">
      <c r="A805" s="12"/>
      <c r="B805" s="12"/>
      <c r="C805" s="60"/>
    </row>
    <row r="806">
      <c r="A806" s="12"/>
      <c r="B806" s="12"/>
      <c r="C806" s="60"/>
    </row>
    <row r="807">
      <c r="A807" s="12"/>
      <c r="B807" s="12"/>
      <c r="C807" s="60"/>
    </row>
    <row r="808">
      <c r="A808" s="12"/>
      <c r="B808" s="12"/>
      <c r="C808" s="60"/>
    </row>
    <row r="809">
      <c r="A809" s="12"/>
      <c r="B809" s="12"/>
      <c r="C809" s="60"/>
    </row>
    <row r="810">
      <c r="A810" s="12"/>
      <c r="B810" s="12"/>
      <c r="C810" s="60"/>
    </row>
    <row r="811">
      <c r="A811" s="12"/>
      <c r="B811" s="12"/>
      <c r="C811" s="60"/>
    </row>
    <row r="812">
      <c r="A812" s="12"/>
      <c r="B812" s="12"/>
      <c r="C812" s="60"/>
    </row>
    <row r="813">
      <c r="A813" s="12"/>
      <c r="B813" s="12"/>
      <c r="C813" s="60"/>
    </row>
    <row r="814">
      <c r="A814" s="12"/>
      <c r="B814" s="12"/>
      <c r="C814" s="60"/>
    </row>
    <row r="815">
      <c r="A815" s="12"/>
      <c r="B815" s="12"/>
      <c r="C815" s="60"/>
    </row>
    <row r="816">
      <c r="A816" s="12"/>
      <c r="B816" s="12"/>
      <c r="C816" s="60"/>
    </row>
    <row r="817">
      <c r="A817" s="12"/>
      <c r="B817" s="12"/>
      <c r="C817" s="60"/>
    </row>
    <row r="818">
      <c r="A818" s="12"/>
      <c r="B818" s="12"/>
      <c r="C818" s="60"/>
    </row>
    <row r="819">
      <c r="A819" s="12"/>
      <c r="B819" s="12"/>
      <c r="C819" s="60"/>
    </row>
    <row r="820">
      <c r="A820" s="12"/>
      <c r="B820" s="12"/>
      <c r="C820" s="60"/>
    </row>
    <row r="821">
      <c r="A821" s="12"/>
      <c r="B821" s="12"/>
      <c r="C821" s="60"/>
    </row>
    <row r="822">
      <c r="A822" s="12"/>
      <c r="B822" s="12"/>
      <c r="C822" s="60"/>
    </row>
    <row r="823">
      <c r="A823" s="12"/>
      <c r="B823" s="12"/>
      <c r="C823" s="60"/>
    </row>
    <row r="824">
      <c r="A824" s="12"/>
      <c r="B824" s="12"/>
      <c r="C824" s="60"/>
    </row>
    <row r="825">
      <c r="A825" s="12"/>
      <c r="B825" s="12"/>
      <c r="C825" s="60"/>
    </row>
    <row r="826">
      <c r="A826" s="12"/>
      <c r="B826" s="12"/>
      <c r="C826" s="60"/>
    </row>
    <row r="827">
      <c r="A827" s="12"/>
      <c r="B827" s="12"/>
      <c r="C827" s="60"/>
    </row>
    <row r="828">
      <c r="A828" s="12"/>
      <c r="B828" s="12"/>
      <c r="C828" s="60"/>
    </row>
    <row r="829">
      <c r="A829" s="12"/>
      <c r="B829" s="12"/>
      <c r="C829" s="60"/>
    </row>
    <row r="830">
      <c r="A830" s="12"/>
      <c r="B830" s="12"/>
      <c r="C830" s="60"/>
    </row>
    <row r="831">
      <c r="A831" s="12"/>
      <c r="B831" s="12"/>
      <c r="C831" s="60"/>
    </row>
    <row r="832">
      <c r="A832" s="12"/>
      <c r="B832" s="12"/>
      <c r="C832" s="60"/>
    </row>
    <row r="833">
      <c r="A833" s="12"/>
      <c r="B833" s="12"/>
      <c r="C833" s="60"/>
    </row>
    <row r="834">
      <c r="A834" s="12"/>
      <c r="B834" s="12"/>
      <c r="C834" s="60"/>
    </row>
    <row r="835">
      <c r="A835" s="12"/>
      <c r="B835" s="12"/>
      <c r="C835" s="60"/>
    </row>
    <row r="836">
      <c r="A836" s="12"/>
      <c r="B836" s="12"/>
      <c r="C836" s="60"/>
    </row>
    <row r="837">
      <c r="A837" s="12"/>
      <c r="B837" s="12"/>
      <c r="C837" s="60"/>
    </row>
    <row r="838">
      <c r="A838" s="12"/>
      <c r="B838" s="12"/>
      <c r="C838" s="60"/>
    </row>
    <row r="839">
      <c r="A839" s="12"/>
      <c r="B839" s="12"/>
      <c r="C839" s="60"/>
    </row>
    <row r="840">
      <c r="A840" s="12"/>
      <c r="B840" s="12"/>
      <c r="C840" s="60"/>
    </row>
    <row r="841">
      <c r="A841" s="12"/>
      <c r="B841" s="12"/>
      <c r="C841" s="60"/>
    </row>
    <row r="842">
      <c r="A842" s="12"/>
      <c r="B842" s="12"/>
      <c r="C842" s="60"/>
    </row>
    <row r="843">
      <c r="A843" s="12"/>
      <c r="B843" s="12"/>
      <c r="C843" s="60"/>
    </row>
    <row r="844">
      <c r="A844" s="12"/>
      <c r="B844" s="12"/>
      <c r="C844" s="60"/>
    </row>
    <row r="845">
      <c r="A845" s="12"/>
      <c r="B845" s="12"/>
      <c r="C845" s="60"/>
    </row>
    <row r="846">
      <c r="A846" s="12"/>
      <c r="B846" s="12"/>
      <c r="C846" s="60"/>
    </row>
    <row r="847">
      <c r="A847" s="12"/>
      <c r="B847" s="12"/>
      <c r="C847" s="60"/>
    </row>
    <row r="848">
      <c r="A848" s="12"/>
      <c r="B848" s="12"/>
      <c r="C848" s="60"/>
    </row>
    <row r="849">
      <c r="A849" s="12"/>
      <c r="B849" s="12"/>
      <c r="C849" s="60"/>
    </row>
    <row r="850">
      <c r="A850" s="12"/>
      <c r="B850" s="12"/>
      <c r="C850" s="60"/>
    </row>
    <row r="851">
      <c r="A851" s="12"/>
      <c r="B851" s="12"/>
      <c r="C851" s="60"/>
    </row>
    <row r="852">
      <c r="A852" s="12"/>
      <c r="B852" s="12"/>
      <c r="C852" s="60"/>
    </row>
    <row r="853">
      <c r="A853" s="12"/>
      <c r="B853" s="12"/>
      <c r="C853" s="60"/>
    </row>
    <row r="854">
      <c r="A854" s="12"/>
      <c r="B854" s="12"/>
      <c r="C854" s="60"/>
    </row>
    <row r="855">
      <c r="A855" s="12"/>
      <c r="B855" s="12"/>
      <c r="C855" s="60"/>
    </row>
    <row r="856">
      <c r="A856" s="12"/>
      <c r="B856" s="12"/>
      <c r="C856" s="60"/>
    </row>
    <row r="857">
      <c r="A857" s="12"/>
      <c r="B857" s="12"/>
      <c r="C857" s="60"/>
    </row>
    <row r="858">
      <c r="A858" s="12"/>
      <c r="B858" s="12"/>
      <c r="C858" s="60"/>
    </row>
    <row r="859">
      <c r="A859" s="12"/>
      <c r="B859" s="12"/>
      <c r="C859" s="60"/>
    </row>
    <row r="860">
      <c r="A860" s="12"/>
      <c r="B860" s="12"/>
      <c r="C860" s="60"/>
    </row>
    <row r="861">
      <c r="A861" s="12"/>
      <c r="B861" s="12"/>
      <c r="C861" s="60"/>
    </row>
    <row r="862">
      <c r="A862" s="12"/>
      <c r="B862" s="12"/>
      <c r="C862" s="60"/>
    </row>
    <row r="863">
      <c r="A863" s="12"/>
      <c r="B863" s="12"/>
      <c r="C863" s="60"/>
    </row>
    <row r="864">
      <c r="A864" s="12"/>
      <c r="B864" s="12"/>
      <c r="C864" s="60"/>
    </row>
    <row r="865">
      <c r="A865" s="12"/>
      <c r="B865" s="12"/>
      <c r="C865" s="60"/>
    </row>
    <row r="866">
      <c r="A866" s="12"/>
      <c r="B866" s="12"/>
      <c r="C866" s="60"/>
    </row>
    <row r="867">
      <c r="A867" s="12"/>
      <c r="B867" s="12"/>
      <c r="C867" s="60"/>
    </row>
    <row r="868">
      <c r="A868" s="12"/>
      <c r="B868" s="12"/>
      <c r="C868" s="60"/>
    </row>
    <row r="869">
      <c r="A869" s="12"/>
      <c r="B869" s="12"/>
      <c r="C869" s="60"/>
    </row>
    <row r="870">
      <c r="A870" s="12"/>
      <c r="B870" s="12"/>
      <c r="C870" s="60"/>
    </row>
    <row r="871">
      <c r="A871" s="12"/>
      <c r="B871" s="12"/>
      <c r="C871" s="60"/>
    </row>
    <row r="872">
      <c r="A872" s="12"/>
      <c r="B872" s="12"/>
      <c r="C872" s="60"/>
    </row>
    <row r="873">
      <c r="A873" s="12"/>
      <c r="B873" s="12"/>
      <c r="C873" s="60"/>
    </row>
    <row r="874">
      <c r="A874" s="12"/>
      <c r="B874" s="12"/>
      <c r="C874" s="60"/>
    </row>
    <row r="875">
      <c r="A875" s="12"/>
      <c r="B875" s="12"/>
      <c r="C875" s="60"/>
    </row>
    <row r="876">
      <c r="A876" s="12"/>
      <c r="B876" s="12"/>
      <c r="C876" s="60"/>
    </row>
    <row r="877">
      <c r="A877" s="12"/>
      <c r="B877" s="12"/>
      <c r="C877" s="60"/>
    </row>
    <row r="878">
      <c r="A878" s="12"/>
      <c r="B878" s="12"/>
      <c r="C878" s="60"/>
    </row>
    <row r="879">
      <c r="A879" s="12"/>
      <c r="B879" s="12"/>
      <c r="C879" s="60"/>
    </row>
    <row r="880">
      <c r="A880" s="12"/>
      <c r="B880" s="12"/>
      <c r="C880" s="60"/>
    </row>
    <row r="881">
      <c r="A881" s="12"/>
      <c r="B881" s="12"/>
      <c r="C881" s="60"/>
    </row>
    <row r="882">
      <c r="A882" s="12"/>
      <c r="B882" s="12"/>
      <c r="C882" s="60"/>
    </row>
    <row r="883">
      <c r="A883" s="12"/>
      <c r="B883" s="12"/>
      <c r="C883" s="60"/>
    </row>
    <row r="884">
      <c r="A884" s="12"/>
      <c r="B884" s="12"/>
      <c r="C884" s="60"/>
    </row>
    <row r="885">
      <c r="A885" s="12"/>
      <c r="B885" s="12"/>
      <c r="C885" s="60"/>
    </row>
    <row r="886">
      <c r="A886" s="12"/>
      <c r="B886" s="12"/>
      <c r="C886" s="60"/>
    </row>
    <row r="887">
      <c r="A887" s="12"/>
      <c r="B887" s="12"/>
      <c r="C887" s="60"/>
    </row>
    <row r="888">
      <c r="A888" s="12"/>
      <c r="B888" s="12"/>
      <c r="C888" s="60"/>
    </row>
    <row r="889">
      <c r="A889" s="12"/>
      <c r="B889" s="12"/>
      <c r="C889" s="60"/>
    </row>
    <row r="890">
      <c r="A890" s="12"/>
      <c r="B890" s="12"/>
      <c r="C890" s="60"/>
    </row>
    <row r="891">
      <c r="A891" s="12"/>
      <c r="B891" s="12"/>
      <c r="C891" s="60"/>
    </row>
    <row r="892">
      <c r="A892" s="12"/>
      <c r="B892" s="12"/>
      <c r="C892" s="60"/>
    </row>
    <row r="893">
      <c r="A893" s="12"/>
      <c r="B893" s="12"/>
      <c r="C893" s="60"/>
    </row>
    <row r="894">
      <c r="A894" s="12"/>
      <c r="B894" s="12"/>
      <c r="C894" s="60"/>
    </row>
    <row r="895">
      <c r="A895" s="12"/>
      <c r="B895" s="12"/>
      <c r="C895" s="60"/>
    </row>
    <row r="896">
      <c r="A896" s="12"/>
      <c r="B896" s="12"/>
      <c r="C896" s="60"/>
    </row>
    <row r="897">
      <c r="A897" s="12"/>
      <c r="B897" s="12"/>
      <c r="C897" s="60"/>
    </row>
    <row r="898">
      <c r="A898" s="12"/>
      <c r="B898" s="12"/>
      <c r="C898" s="60"/>
    </row>
    <row r="899">
      <c r="A899" s="12"/>
      <c r="B899" s="12"/>
      <c r="C899" s="60"/>
    </row>
    <row r="900">
      <c r="A900" s="12"/>
      <c r="B900" s="12"/>
      <c r="C900" s="60"/>
    </row>
    <row r="901">
      <c r="A901" s="12"/>
      <c r="B901" s="12"/>
      <c r="C901" s="60"/>
    </row>
    <row r="902">
      <c r="A902" s="12"/>
      <c r="B902" s="12"/>
      <c r="C902" s="60"/>
    </row>
    <row r="903">
      <c r="A903" s="12"/>
      <c r="B903" s="12"/>
      <c r="C903" s="60"/>
    </row>
    <row r="904">
      <c r="A904" s="12"/>
      <c r="B904" s="12"/>
      <c r="C904" s="60"/>
    </row>
    <row r="905">
      <c r="A905" s="12"/>
      <c r="B905" s="12"/>
      <c r="C905" s="60"/>
    </row>
    <row r="906">
      <c r="A906" s="12"/>
      <c r="B906" s="12"/>
      <c r="C906" s="60"/>
    </row>
    <row r="907">
      <c r="A907" s="12"/>
      <c r="B907" s="12"/>
      <c r="C907" s="60"/>
    </row>
    <row r="908">
      <c r="A908" s="12"/>
      <c r="B908" s="12"/>
      <c r="C908" s="60"/>
    </row>
    <row r="909">
      <c r="A909" s="12"/>
      <c r="B909" s="12"/>
      <c r="C909" s="60"/>
    </row>
    <row r="910">
      <c r="A910" s="12"/>
      <c r="B910" s="12"/>
      <c r="C910" s="60"/>
    </row>
    <row r="911">
      <c r="A911" s="12"/>
      <c r="B911" s="12"/>
      <c r="C911" s="60"/>
    </row>
    <row r="912">
      <c r="A912" s="12"/>
      <c r="B912" s="12"/>
      <c r="C912" s="60"/>
    </row>
    <row r="913">
      <c r="A913" s="12"/>
      <c r="B913" s="12"/>
      <c r="C913" s="60"/>
    </row>
    <row r="914">
      <c r="A914" s="12"/>
      <c r="B914" s="12"/>
      <c r="C914" s="60"/>
    </row>
    <row r="915">
      <c r="A915" s="12"/>
      <c r="B915" s="12"/>
      <c r="C915" s="60"/>
    </row>
    <row r="916">
      <c r="A916" s="12"/>
      <c r="B916" s="12"/>
      <c r="C916" s="60"/>
    </row>
    <row r="917">
      <c r="A917" s="12"/>
      <c r="B917" s="12"/>
      <c r="C917" s="60"/>
    </row>
    <row r="918">
      <c r="A918" s="12"/>
      <c r="B918" s="12"/>
      <c r="C918" s="60"/>
    </row>
    <row r="919">
      <c r="A919" s="12"/>
      <c r="B919" s="12"/>
      <c r="C919" s="60"/>
    </row>
    <row r="920">
      <c r="A920" s="12"/>
      <c r="B920" s="12"/>
      <c r="C920" s="60"/>
    </row>
    <row r="921">
      <c r="A921" s="12"/>
      <c r="B921" s="12"/>
      <c r="C921" s="60"/>
    </row>
    <row r="922">
      <c r="A922" s="12"/>
      <c r="B922" s="12"/>
      <c r="C922" s="60"/>
    </row>
    <row r="923">
      <c r="A923" s="12"/>
      <c r="B923" s="12"/>
      <c r="C923" s="60"/>
    </row>
    <row r="924">
      <c r="A924" s="12"/>
      <c r="B924" s="12"/>
      <c r="C924" s="60"/>
    </row>
    <row r="925">
      <c r="A925" s="12"/>
      <c r="B925" s="12"/>
      <c r="C925" s="60"/>
    </row>
    <row r="926">
      <c r="A926" s="12"/>
      <c r="B926" s="12"/>
      <c r="C926" s="60"/>
    </row>
    <row r="927">
      <c r="A927" s="12"/>
      <c r="B927" s="12"/>
      <c r="C927" s="60"/>
    </row>
    <row r="928">
      <c r="A928" s="12"/>
      <c r="B928" s="12"/>
      <c r="C928" s="60"/>
    </row>
    <row r="929">
      <c r="A929" s="12"/>
      <c r="B929" s="12"/>
      <c r="C929" s="60"/>
    </row>
    <row r="930">
      <c r="A930" s="12"/>
      <c r="B930" s="12"/>
      <c r="C930" s="60"/>
    </row>
    <row r="931">
      <c r="A931" s="12"/>
      <c r="B931" s="12"/>
      <c r="C931" s="60"/>
    </row>
    <row r="932">
      <c r="A932" s="12"/>
      <c r="B932" s="12"/>
      <c r="C932" s="60"/>
    </row>
    <row r="933">
      <c r="A933" s="12"/>
      <c r="B933" s="12"/>
      <c r="C933" s="60"/>
    </row>
    <row r="934">
      <c r="A934" s="12"/>
      <c r="B934" s="12"/>
      <c r="C934" s="60"/>
    </row>
    <row r="935">
      <c r="A935" s="12"/>
      <c r="B935" s="12"/>
      <c r="C935" s="60"/>
    </row>
    <row r="936">
      <c r="A936" s="12"/>
      <c r="B936" s="12"/>
      <c r="C936" s="60"/>
    </row>
    <row r="937">
      <c r="A937" s="12"/>
      <c r="B937" s="12"/>
      <c r="C937" s="60"/>
    </row>
    <row r="938">
      <c r="A938" s="12"/>
      <c r="B938" s="12"/>
      <c r="C938" s="60"/>
    </row>
    <row r="939">
      <c r="A939" s="12"/>
      <c r="B939" s="12"/>
      <c r="C939" s="60"/>
    </row>
    <row r="940">
      <c r="A940" s="12"/>
      <c r="B940" s="12"/>
      <c r="C940" s="60"/>
    </row>
    <row r="941">
      <c r="A941" s="12"/>
      <c r="B941" s="12"/>
      <c r="C941" s="60"/>
    </row>
    <row r="942">
      <c r="A942" s="12"/>
      <c r="B942" s="12"/>
      <c r="C942" s="60"/>
    </row>
    <row r="943">
      <c r="A943" s="12"/>
      <c r="B943" s="12"/>
      <c r="C943" s="60"/>
    </row>
    <row r="944">
      <c r="A944" s="12"/>
      <c r="B944" s="12"/>
      <c r="C944" s="60"/>
    </row>
    <row r="945">
      <c r="A945" s="12"/>
      <c r="B945" s="12"/>
      <c r="C945" s="60"/>
    </row>
    <row r="946">
      <c r="A946" s="12"/>
      <c r="B946" s="12"/>
      <c r="C946" s="60"/>
    </row>
    <row r="947">
      <c r="A947" s="12"/>
      <c r="B947" s="12"/>
      <c r="C947" s="60"/>
    </row>
    <row r="948">
      <c r="A948" s="12"/>
      <c r="B948" s="12"/>
      <c r="C948" s="60"/>
    </row>
    <row r="949">
      <c r="A949" s="12"/>
      <c r="B949" s="12"/>
      <c r="C949" s="60"/>
    </row>
    <row r="950">
      <c r="A950" s="12"/>
      <c r="B950" s="12"/>
      <c r="C950" s="60"/>
    </row>
    <row r="951">
      <c r="A951" s="12"/>
      <c r="B951" s="12"/>
      <c r="C951" s="60"/>
    </row>
    <row r="952">
      <c r="A952" s="12"/>
      <c r="B952" s="12"/>
      <c r="C952" s="60"/>
    </row>
    <row r="953">
      <c r="A953" s="12"/>
      <c r="B953" s="12"/>
      <c r="C953" s="60"/>
    </row>
    <row r="954">
      <c r="A954" s="12"/>
      <c r="B954" s="12"/>
      <c r="C954" s="60"/>
    </row>
    <row r="955">
      <c r="A955" s="12"/>
      <c r="B955" s="12"/>
      <c r="C955" s="60"/>
    </row>
    <row r="956">
      <c r="A956" s="12"/>
      <c r="B956" s="12"/>
      <c r="C956" s="60"/>
    </row>
    <row r="957">
      <c r="A957" s="12"/>
      <c r="B957" s="12"/>
      <c r="C957" s="60"/>
    </row>
    <row r="958">
      <c r="A958" s="12"/>
      <c r="B958" s="12"/>
      <c r="C958" s="60"/>
    </row>
    <row r="959">
      <c r="A959" s="12"/>
      <c r="B959" s="12"/>
      <c r="C959" s="60"/>
    </row>
    <row r="960">
      <c r="A960" s="12"/>
      <c r="B960" s="12"/>
      <c r="C960" s="60"/>
    </row>
    <row r="961">
      <c r="A961" s="12"/>
      <c r="B961" s="12"/>
      <c r="C961" s="60"/>
    </row>
    <row r="962">
      <c r="A962" s="12"/>
      <c r="B962" s="12"/>
      <c r="C962" s="60"/>
    </row>
    <row r="963">
      <c r="A963" s="12"/>
      <c r="B963" s="12"/>
      <c r="C963" s="60"/>
    </row>
    <row r="964">
      <c r="A964" s="12"/>
      <c r="B964" s="12"/>
      <c r="C964" s="60"/>
    </row>
    <row r="965">
      <c r="A965" s="12"/>
      <c r="B965" s="12"/>
      <c r="C965" s="60"/>
    </row>
    <row r="966">
      <c r="A966" s="12"/>
      <c r="B966" s="12"/>
      <c r="C966" s="60"/>
    </row>
    <row r="967">
      <c r="A967" s="12"/>
      <c r="B967" s="12"/>
      <c r="C967" s="60"/>
    </row>
    <row r="968">
      <c r="A968" s="12"/>
      <c r="B968" s="12"/>
      <c r="C968" s="60"/>
    </row>
    <row r="969">
      <c r="A969" s="12"/>
      <c r="B969" s="12"/>
      <c r="C969" s="60"/>
    </row>
    <row r="970">
      <c r="A970" s="12"/>
      <c r="B970" s="12"/>
      <c r="C970" s="60"/>
    </row>
    <row r="971">
      <c r="A971" s="12"/>
      <c r="B971" s="12"/>
      <c r="C971" s="60"/>
    </row>
    <row r="972">
      <c r="A972" s="12"/>
      <c r="B972" s="12"/>
      <c r="C972" s="60"/>
    </row>
    <row r="973">
      <c r="A973" s="12"/>
      <c r="B973" s="12"/>
      <c r="C973" s="60"/>
    </row>
    <row r="974">
      <c r="A974" s="12"/>
      <c r="B974" s="12"/>
      <c r="C974" s="60"/>
    </row>
    <row r="975">
      <c r="A975" s="12"/>
      <c r="B975" s="12"/>
      <c r="C975" s="60"/>
    </row>
    <row r="976">
      <c r="A976" s="12"/>
      <c r="B976" s="12"/>
      <c r="C976" s="60"/>
    </row>
    <row r="977">
      <c r="A977" s="12"/>
      <c r="B977" s="12"/>
      <c r="C977" s="60"/>
    </row>
    <row r="978">
      <c r="A978" s="12"/>
      <c r="B978" s="12"/>
      <c r="C978" s="60"/>
    </row>
    <row r="979">
      <c r="A979" s="12"/>
      <c r="B979" s="12"/>
      <c r="C979" s="60"/>
    </row>
    <row r="980">
      <c r="A980" s="12"/>
      <c r="B980" s="12"/>
      <c r="C980" s="60"/>
    </row>
    <row r="981">
      <c r="A981" s="12"/>
      <c r="B981" s="12"/>
      <c r="C981" s="60"/>
    </row>
    <row r="982">
      <c r="A982" s="12"/>
      <c r="B982" s="12"/>
      <c r="C982" s="60"/>
    </row>
    <row r="983">
      <c r="A983" s="12"/>
      <c r="B983" s="12"/>
      <c r="C983" s="60"/>
    </row>
    <row r="984">
      <c r="A984" s="12"/>
      <c r="B984" s="12"/>
      <c r="C984" s="60"/>
    </row>
    <row r="985">
      <c r="A985" s="12"/>
      <c r="B985" s="12"/>
      <c r="C985" s="60"/>
    </row>
    <row r="986">
      <c r="A986" s="12"/>
      <c r="B986" s="12"/>
      <c r="C986" s="60"/>
    </row>
    <row r="987">
      <c r="A987" s="12"/>
      <c r="B987" s="12"/>
      <c r="C987" s="60"/>
    </row>
    <row r="988">
      <c r="A988" s="12"/>
      <c r="B988" s="12"/>
      <c r="C988" s="60"/>
    </row>
    <row r="989">
      <c r="A989" s="12"/>
      <c r="B989" s="12"/>
      <c r="C989" s="60"/>
    </row>
    <row r="990">
      <c r="A990" s="12"/>
      <c r="B990" s="12"/>
      <c r="C990" s="60"/>
    </row>
    <row r="991">
      <c r="A991" s="12"/>
      <c r="B991" s="12"/>
      <c r="C991" s="60"/>
    </row>
    <row r="992">
      <c r="A992" s="12"/>
      <c r="B992" s="12"/>
      <c r="C992" s="60"/>
    </row>
    <row r="993">
      <c r="A993" s="12"/>
      <c r="B993" s="12"/>
      <c r="C993" s="60"/>
    </row>
    <row r="994">
      <c r="A994" s="12"/>
      <c r="B994" s="12"/>
      <c r="C994" s="60"/>
    </row>
    <row r="995">
      <c r="A995" s="12"/>
      <c r="B995" s="12"/>
      <c r="C995" s="60"/>
    </row>
    <row r="996">
      <c r="A996" s="12"/>
      <c r="B996" s="12"/>
      <c r="C996" s="60"/>
    </row>
    <row r="997">
      <c r="A997" s="12"/>
      <c r="B997" s="12"/>
      <c r="C997" s="60"/>
    </row>
    <row r="998">
      <c r="A998" s="12"/>
      <c r="B998" s="12"/>
      <c r="C998" s="60"/>
    </row>
    <row r="999">
      <c r="A999" s="12"/>
      <c r="B999" s="12"/>
      <c r="C999" s="60"/>
    </row>
    <row r="1000">
      <c r="A1000" s="12"/>
      <c r="B1000" s="12"/>
      <c r="C1000" s="60"/>
    </row>
    <row r="1001">
      <c r="A1001" s="12"/>
      <c r="B1001" s="12"/>
      <c r="C1001" s="60"/>
    </row>
    <row r="1002">
      <c r="A1002" s="12"/>
      <c r="B1002" s="12"/>
      <c r="C1002" s="60"/>
    </row>
    <row r="1003">
      <c r="A1003" s="12"/>
      <c r="B1003" s="12"/>
      <c r="C1003" s="60"/>
    </row>
  </sheetData>
  <mergeCells count="13">
    <mergeCell ref="E5:F5"/>
    <mergeCell ref="E6:F6"/>
    <mergeCell ref="A7:B7"/>
    <mergeCell ref="E7:F7"/>
    <mergeCell ref="A8:B8"/>
    <mergeCell ref="E8:F8"/>
    <mergeCell ref="B1:F1"/>
    <mergeCell ref="A2:C2"/>
    <mergeCell ref="A3:C3"/>
    <mergeCell ref="A4:C4"/>
    <mergeCell ref="E4:G4"/>
    <mergeCell ref="A5:B5"/>
    <mergeCell ref="A6:B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25.13"/>
    <col customWidth="1" min="3" max="3" width="15.13"/>
    <col customWidth="1" min="5" max="6" width="25.13"/>
    <col customWidth="1" min="7" max="7" width="15.13"/>
  </cols>
  <sheetData>
    <row r="1" ht="75.0" customHeight="1">
      <c r="A1" s="4" t="s">
        <v>98</v>
      </c>
      <c r="B1" s="3" t="s">
        <v>1282</v>
      </c>
      <c r="G1" s="9">
        <f>SUM(C7,G7) / 100</f>
        <v>0</v>
      </c>
      <c r="H1" s="97" t="s">
        <v>1283</v>
      </c>
    </row>
    <row r="2">
      <c r="A2" s="10" t="s">
        <v>1285</v>
      </c>
      <c r="H2" s="10"/>
    </row>
    <row r="3">
      <c r="A3" s="12"/>
    </row>
    <row r="4">
      <c r="A4" s="14" t="s">
        <v>1287</v>
      </c>
      <c r="B4" s="6"/>
      <c r="C4" s="8"/>
      <c r="D4" s="15"/>
      <c r="E4" s="23" t="s">
        <v>1288</v>
      </c>
      <c r="F4" s="6"/>
      <c r="G4" s="8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>
      <c r="A5" s="16" t="s">
        <v>11</v>
      </c>
      <c r="B5" s="8"/>
      <c r="C5" s="17">
        <v>50.0</v>
      </c>
      <c r="D5" s="18"/>
      <c r="E5" s="16" t="s">
        <v>11</v>
      </c>
      <c r="F5" s="8"/>
      <c r="G5" s="17">
        <v>500.0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>
      <c r="A6" s="16" t="s">
        <v>13</v>
      </c>
      <c r="B6" s="8"/>
      <c r="C6" s="17">
        <f>COUNTA(C10:C951)</f>
        <v>0</v>
      </c>
      <c r="D6" s="18"/>
      <c r="E6" s="16" t="s">
        <v>13</v>
      </c>
      <c r="F6" s="8"/>
      <c r="G6" s="17">
        <f>COUNTA(G10:G951)</f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>
      <c r="A7" s="16" t="s">
        <v>17</v>
      </c>
      <c r="B7" s="8"/>
      <c r="C7" s="30">
        <f>(C6 * C8) / C5</f>
        <v>0</v>
      </c>
      <c r="D7" s="18"/>
      <c r="E7" s="16" t="s">
        <v>17</v>
      </c>
      <c r="F7" s="8"/>
      <c r="G7" s="30">
        <f>(G6 * G8) / G5</f>
        <v>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>
      <c r="A8" s="36" t="s">
        <v>24</v>
      </c>
      <c r="B8" s="8"/>
      <c r="C8" s="38">
        <v>50.0</v>
      </c>
      <c r="D8" s="18"/>
      <c r="E8" s="36" t="s">
        <v>24</v>
      </c>
      <c r="F8" s="8"/>
      <c r="G8" s="38">
        <v>50.0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ht="59.25" customHeight="1">
      <c r="A9" s="39" t="s">
        <v>1308</v>
      </c>
      <c r="B9" s="39" t="s">
        <v>26</v>
      </c>
      <c r="C9" s="40" t="s">
        <v>1309</v>
      </c>
      <c r="D9" s="18"/>
      <c r="E9" s="54" t="s">
        <v>1311</v>
      </c>
      <c r="F9" s="54" t="s">
        <v>26</v>
      </c>
      <c r="G9" s="40" t="s">
        <v>1313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>
      <c r="A10" s="41" t="s">
        <v>1316</v>
      </c>
      <c r="B10" s="41"/>
      <c r="C10" s="42"/>
      <c r="E10" s="41" t="s">
        <v>1320</v>
      </c>
      <c r="F10" s="41"/>
      <c r="G10" s="41"/>
    </row>
    <row r="11">
      <c r="A11" s="41" t="s">
        <v>1322</v>
      </c>
      <c r="B11" s="41"/>
      <c r="C11" s="42"/>
      <c r="E11" s="41" t="s">
        <v>1325</v>
      </c>
      <c r="F11" s="41"/>
      <c r="G11" s="41"/>
    </row>
    <row r="12">
      <c r="A12" s="41" t="s">
        <v>1327</v>
      </c>
      <c r="B12" s="41"/>
      <c r="C12" s="42"/>
      <c r="E12" s="41" t="s">
        <v>1329</v>
      </c>
      <c r="F12" s="41"/>
      <c r="G12" s="41"/>
    </row>
    <row r="13">
      <c r="A13" s="41" t="s">
        <v>1332</v>
      </c>
      <c r="B13" s="41"/>
      <c r="C13" s="42"/>
      <c r="E13" s="41" t="s">
        <v>1334</v>
      </c>
      <c r="F13" s="41"/>
      <c r="G13" s="41"/>
    </row>
    <row r="14">
      <c r="A14" s="41" t="s">
        <v>1336</v>
      </c>
      <c r="B14" s="41"/>
      <c r="C14" s="42"/>
      <c r="E14" s="41" t="s">
        <v>1337</v>
      </c>
      <c r="F14" s="41"/>
      <c r="G14" s="41"/>
    </row>
    <row r="15">
      <c r="A15" s="41" t="s">
        <v>1338</v>
      </c>
      <c r="B15" s="41"/>
      <c r="C15" s="42"/>
      <c r="E15" s="41" t="s">
        <v>1339</v>
      </c>
      <c r="F15" s="41"/>
      <c r="G15" s="41"/>
    </row>
    <row r="16">
      <c r="A16" s="41" t="s">
        <v>1340</v>
      </c>
      <c r="B16" s="41"/>
      <c r="C16" s="42"/>
      <c r="E16" s="41" t="s">
        <v>1341</v>
      </c>
      <c r="F16" s="41"/>
      <c r="G16" s="41"/>
    </row>
    <row r="17">
      <c r="A17" s="41" t="s">
        <v>1342</v>
      </c>
      <c r="B17" s="41"/>
      <c r="C17" s="42"/>
      <c r="E17" s="41" t="s">
        <v>1343</v>
      </c>
      <c r="F17" s="41"/>
      <c r="G17" s="41"/>
    </row>
    <row r="18">
      <c r="A18" s="41" t="s">
        <v>1344</v>
      </c>
      <c r="B18" s="41"/>
      <c r="C18" s="42"/>
      <c r="E18" s="41" t="s">
        <v>1345</v>
      </c>
      <c r="F18" s="41"/>
      <c r="G18" s="41"/>
    </row>
    <row r="19">
      <c r="A19" s="41" t="s">
        <v>1346</v>
      </c>
      <c r="B19" s="41"/>
      <c r="C19" s="42"/>
      <c r="E19" s="41" t="s">
        <v>1347</v>
      </c>
      <c r="F19" s="41"/>
      <c r="G19" s="41"/>
    </row>
    <row r="20">
      <c r="A20" s="62"/>
      <c r="B20" s="62"/>
      <c r="C20" s="60"/>
    </row>
    <row r="21">
      <c r="A21" s="62"/>
      <c r="B21" s="62"/>
      <c r="C21" s="60"/>
    </row>
    <row r="22">
      <c r="A22" s="62"/>
      <c r="B22" s="62"/>
      <c r="C22" s="60"/>
    </row>
    <row r="23">
      <c r="A23" s="62"/>
      <c r="B23" s="62"/>
      <c r="C23" s="60"/>
    </row>
    <row r="24">
      <c r="A24" s="62"/>
      <c r="B24" s="62"/>
      <c r="C24" s="60"/>
    </row>
    <row r="25">
      <c r="A25" s="62"/>
      <c r="B25" s="62"/>
      <c r="C25" s="60"/>
    </row>
    <row r="26">
      <c r="A26" s="62"/>
      <c r="B26" s="62"/>
      <c r="C26" s="60"/>
    </row>
    <row r="27">
      <c r="A27" s="62"/>
      <c r="B27" s="62"/>
      <c r="C27" s="60"/>
    </row>
    <row r="28">
      <c r="A28" s="62"/>
      <c r="B28" s="62"/>
      <c r="C28" s="60"/>
    </row>
    <row r="29">
      <c r="A29" s="62"/>
      <c r="B29" s="62"/>
      <c r="C29" s="60"/>
    </row>
    <row r="30">
      <c r="A30" s="62"/>
      <c r="B30" s="62"/>
      <c r="C30" s="60"/>
    </row>
    <row r="31">
      <c r="A31" s="62"/>
      <c r="B31" s="62"/>
      <c r="C31" s="60"/>
    </row>
    <row r="32">
      <c r="A32" s="62"/>
      <c r="B32" s="62"/>
      <c r="C32" s="60"/>
    </row>
    <row r="33">
      <c r="A33" s="62"/>
      <c r="B33" s="62"/>
      <c r="C33" s="60"/>
    </row>
    <row r="34">
      <c r="A34" s="62"/>
      <c r="B34" s="62"/>
      <c r="C34" s="60"/>
    </row>
    <row r="35">
      <c r="A35" s="62"/>
      <c r="B35" s="62"/>
      <c r="C35" s="60"/>
    </row>
    <row r="36">
      <c r="A36" s="62"/>
      <c r="B36" s="62"/>
      <c r="C36" s="60"/>
    </row>
    <row r="37">
      <c r="A37" s="62"/>
      <c r="B37" s="62"/>
      <c r="C37" s="60"/>
    </row>
    <row r="38">
      <c r="A38" s="62"/>
      <c r="B38" s="62"/>
      <c r="C38" s="60"/>
    </row>
    <row r="39">
      <c r="A39" s="62"/>
      <c r="B39" s="62"/>
      <c r="C39" s="60"/>
    </row>
    <row r="40">
      <c r="A40" s="62"/>
      <c r="B40" s="62"/>
      <c r="C40" s="60"/>
    </row>
    <row r="41">
      <c r="A41" s="62"/>
      <c r="B41" s="62"/>
      <c r="C41" s="60"/>
    </row>
    <row r="42">
      <c r="A42" s="62"/>
      <c r="B42" s="62"/>
      <c r="C42" s="60"/>
    </row>
    <row r="43">
      <c r="A43" s="62"/>
      <c r="B43" s="62"/>
      <c r="C43" s="60"/>
    </row>
    <row r="44">
      <c r="A44" s="62"/>
      <c r="B44" s="62"/>
      <c r="C44" s="60"/>
    </row>
    <row r="45">
      <c r="A45" s="62"/>
      <c r="B45" s="62"/>
      <c r="C45" s="60"/>
    </row>
    <row r="46">
      <c r="A46" s="62"/>
      <c r="B46" s="62"/>
      <c r="C46" s="60"/>
    </row>
    <row r="47">
      <c r="A47" s="62"/>
      <c r="B47" s="62"/>
      <c r="C47" s="60"/>
    </row>
    <row r="48">
      <c r="A48" s="62"/>
      <c r="B48" s="62"/>
      <c r="C48" s="60"/>
    </row>
    <row r="49">
      <c r="A49" s="62"/>
      <c r="B49" s="62"/>
      <c r="C49" s="60"/>
    </row>
    <row r="50">
      <c r="A50" s="62"/>
      <c r="B50" s="62"/>
      <c r="C50" s="60"/>
    </row>
    <row r="51">
      <c r="A51" s="62"/>
      <c r="B51" s="62"/>
      <c r="C51" s="60"/>
    </row>
    <row r="52">
      <c r="A52" s="62"/>
      <c r="B52" s="62"/>
      <c r="C52" s="60"/>
    </row>
    <row r="53">
      <c r="A53" s="62"/>
      <c r="B53" s="62"/>
      <c r="C53" s="60"/>
    </row>
    <row r="54">
      <c r="A54" s="62"/>
      <c r="B54" s="62"/>
      <c r="C54" s="60"/>
    </row>
    <row r="55">
      <c r="A55" s="62"/>
      <c r="B55" s="62"/>
      <c r="C55" s="60"/>
    </row>
    <row r="56">
      <c r="A56" s="62"/>
      <c r="B56" s="62"/>
      <c r="C56" s="60"/>
    </row>
    <row r="57">
      <c r="A57" s="62"/>
      <c r="B57" s="62"/>
      <c r="C57" s="60"/>
    </row>
    <row r="58">
      <c r="A58" s="62"/>
      <c r="B58" s="62"/>
      <c r="C58" s="60"/>
    </row>
    <row r="59">
      <c r="A59" s="62"/>
      <c r="B59" s="62"/>
      <c r="C59" s="60"/>
    </row>
    <row r="60">
      <c r="A60" s="12"/>
      <c r="B60" s="12"/>
      <c r="C60" s="60"/>
    </row>
    <row r="61">
      <c r="A61" s="12"/>
      <c r="B61" s="12"/>
      <c r="C61" s="60"/>
    </row>
    <row r="62">
      <c r="A62" s="12"/>
      <c r="B62" s="12"/>
      <c r="C62" s="60"/>
    </row>
    <row r="63">
      <c r="A63" s="12"/>
      <c r="B63" s="12"/>
      <c r="C63" s="60"/>
    </row>
    <row r="64">
      <c r="A64" s="12"/>
      <c r="B64" s="12"/>
      <c r="C64" s="60"/>
    </row>
    <row r="65">
      <c r="A65" s="12"/>
      <c r="B65" s="12"/>
      <c r="C65" s="60"/>
    </row>
    <row r="66">
      <c r="A66" s="12"/>
      <c r="B66" s="12"/>
      <c r="C66" s="60"/>
    </row>
    <row r="67">
      <c r="A67" s="12"/>
      <c r="B67" s="12"/>
      <c r="C67" s="60"/>
    </row>
    <row r="68">
      <c r="A68" s="12"/>
      <c r="B68" s="12"/>
      <c r="C68" s="60"/>
    </row>
    <row r="69">
      <c r="A69" s="12"/>
      <c r="B69" s="12"/>
      <c r="C69" s="60"/>
    </row>
    <row r="70">
      <c r="A70" s="12"/>
      <c r="B70" s="12"/>
      <c r="C70" s="60"/>
    </row>
    <row r="71">
      <c r="A71" s="12"/>
      <c r="B71" s="12"/>
      <c r="C71" s="60"/>
    </row>
    <row r="72">
      <c r="A72" s="12"/>
      <c r="B72" s="12"/>
      <c r="C72" s="60"/>
    </row>
    <row r="73">
      <c r="A73" s="12"/>
      <c r="B73" s="12"/>
      <c r="C73" s="60"/>
    </row>
    <row r="74">
      <c r="A74" s="12"/>
      <c r="B74" s="12"/>
      <c r="C74" s="60"/>
    </row>
    <row r="75">
      <c r="A75" s="12"/>
      <c r="B75" s="12"/>
      <c r="C75" s="60"/>
    </row>
    <row r="76">
      <c r="A76" s="12"/>
      <c r="B76" s="12"/>
      <c r="C76" s="60"/>
    </row>
    <row r="77">
      <c r="A77" s="12"/>
      <c r="B77" s="12"/>
      <c r="C77" s="60"/>
    </row>
    <row r="78">
      <c r="A78" s="12"/>
      <c r="B78" s="12"/>
      <c r="C78" s="60"/>
    </row>
    <row r="79">
      <c r="A79" s="12"/>
      <c r="B79" s="12"/>
      <c r="C79" s="60"/>
    </row>
    <row r="80">
      <c r="A80" s="12"/>
      <c r="B80" s="12"/>
      <c r="C80" s="60"/>
    </row>
    <row r="81">
      <c r="A81" s="12"/>
      <c r="B81" s="12"/>
      <c r="C81" s="60"/>
    </row>
    <row r="82">
      <c r="A82" s="12"/>
      <c r="B82" s="12"/>
      <c r="C82" s="60"/>
    </row>
    <row r="83">
      <c r="A83" s="12"/>
      <c r="B83" s="12"/>
      <c r="C83" s="60"/>
    </row>
    <row r="84">
      <c r="A84" s="12"/>
      <c r="B84" s="12"/>
      <c r="C84" s="60"/>
    </row>
    <row r="85">
      <c r="A85" s="12"/>
      <c r="B85" s="12"/>
      <c r="C85" s="60"/>
    </row>
    <row r="86">
      <c r="A86" s="12"/>
      <c r="B86" s="12"/>
      <c r="C86" s="60"/>
    </row>
    <row r="87">
      <c r="A87" s="12"/>
      <c r="B87" s="12"/>
      <c r="C87" s="60"/>
    </row>
    <row r="88">
      <c r="A88" s="12"/>
      <c r="B88" s="12"/>
      <c r="C88" s="60"/>
    </row>
    <row r="89">
      <c r="A89" s="12"/>
      <c r="B89" s="12"/>
      <c r="C89" s="60"/>
    </row>
    <row r="90">
      <c r="A90" s="12"/>
      <c r="B90" s="12"/>
      <c r="C90" s="60"/>
    </row>
    <row r="91">
      <c r="A91" s="12"/>
      <c r="B91" s="12"/>
      <c r="C91" s="60"/>
    </row>
    <row r="92">
      <c r="A92" s="12"/>
      <c r="B92" s="12"/>
      <c r="C92" s="60"/>
    </row>
    <row r="93">
      <c r="A93" s="12"/>
      <c r="B93" s="12"/>
      <c r="C93" s="60"/>
    </row>
    <row r="94">
      <c r="A94" s="12"/>
      <c r="B94" s="12"/>
      <c r="C94" s="60"/>
    </row>
    <row r="95">
      <c r="A95" s="12"/>
      <c r="B95" s="12"/>
      <c r="C95" s="60"/>
    </row>
    <row r="96">
      <c r="A96" s="12"/>
      <c r="B96" s="12"/>
      <c r="C96" s="60"/>
    </row>
    <row r="97">
      <c r="A97" s="12"/>
      <c r="B97" s="12"/>
      <c r="C97" s="60"/>
    </row>
    <row r="98">
      <c r="A98" s="12"/>
      <c r="B98" s="12"/>
      <c r="C98" s="60"/>
    </row>
    <row r="99">
      <c r="A99" s="12"/>
      <c r="B99" s="12"/>
      <c r="C99" s="60"/>
    </row>
    <row r="100">
      <c r="A100" s="12"/>
      <c r="B100" s="12"/>
      <c r="C100" s="60"/>
    </row>
    <row r="101">
      <c r="A101" s="12"/>
      <c r="B101" s="12"/>
      <c r="C101" s="60"/>
    </row>
    <row r="102">
      <c r="A102" s="12"/>
      <c r="B102" s="12"/>
      <c r="C102" s="60"/>
    </row>
    <row r="103">
      <c r="A103" s="12"/>
      <c r="B103" s="12"/>
      <c r="C103" s="60"/>
    </row>
    <row r="104">
      <c r="A104" s="12"/>
      <c r="B104" s="12"/>
      <c r="C104" s="60"/>
    </row>
    <row r="105">
      <c r="A105" s="12"/>
      <c r="B105" s="12"/>
      <c r="C105" s="60"/>
    </row>
    <row r="106">
      <c r="A106" s="12"/>
      <c r="B106" s="12"/>
      <c r="C106" s="60"/>
    </row>
    <row r="107">
      <c r="A107" s="12"/>
      <c r="B107" s="12"/>
      <c r="C107" s="60"/>
    </row>
    <row r="108">
      <c r="A108" s="12"/>
      <c r="B108" s="12"/>
      <c r="C108" s="60"/>
    </row>
    <row r="109">
      <c r="A109" s="12"/>
      <c r="B109" s="12"/>
      <c r="C109" s="60"/>
    </row>
    <row r="110">
      <c r="A110" s="12"/>
      <c r="B110" s="12"/>
      <c r="C110" s="60"/>
    </row>
    <row r="111">
      <c r="A111" s="12"/>
      <c r="B111" s="12"/>
      <c r="C111" s="60"/>
    </row>
    <row r="112">
      <c r="A112" s="12"/>
      <c r="B112" s="12"/>
      <c r="C112" s="60"/>
    </row>
    <row r="113">
      <c r="A113" s="12"/>
      <c r="B113" s="12"/>
      <c r="C113" s="60"/>
    </row>
    <row r="114">
      <c r="A114" s="12"/>
      <c r="B114" s="12"/>
      <c r="C114" s="60"/>
    </row>
    <row r="115">
      <c r="A115" s="12"/>
      <c r="B115" s="12"/>
      <c r="C115" s="60"/>
    </row>
    <row r="116">
      <c r="A116" s="12"/>
      <c r="B116" s="12"/>
      <c r="C116" s="60"/>
    </row>
    <row r="117">
      <c r="A117" s="12"/>
      <c r="B117" s="12"/>
      <c r="C117" s="60"/>
    </row>
    <row r="118">
      <c r="A118" s="12"/>
      <c r="B118" s="12"/>
      <c r="C118" s="60"/>
    </row>
    <row r="119">
      <c r="A119" s="12"/>
      <c r="B119" s="12"/>
      <c r="C119" s="60"/>
    </row>
    <row r="120">
      <c r="A120" s="12"/>
      <c r="B120" s="12"/>
      <c r="C120" s="60"/>
    </row>
    <row r="121">
      <c r="A121" s="12"/>
      <c r="B121" s="12"/>
      <c r="C121" s="60"/>
    </row>
    <row r="122">
      <c r="A122" s="12"/>
      <c r="B122" s="12"/>
      <c r="C122" s="60"/>
    </row>
    <row r="123">
      <c r="A123" s="12"/>
      <c r="B123" s="12"/>
      <c r="C123" s="60"/>
    </row>
    <row r="124">
      <c r="A124" s="12"/>
      <c r="B124" s="12"/>
      <c r="C124" s="60"/>
    </row>
    <row r="125">
      <c r="A125" s="12"/>
      <c r="B125" s="12"/>
      <c r="C125" s="60"/>
    </row>
    <row r="126">
      <c r="A126" s="12"/>
      <c r="B126" s="12"/>
      <c r="C126" s="60"/>
    </row>
    <row r="127">
      <c r="A127" s="12"/>
      <c r="B127" s="12"/>
      <c r="C127" s="60"/>
    </row>
    <row r="128">
      <c r="A128" s="12"/>
      <c r="B128" s="12"/>
      <c r="C128" s="60"/>
    </row>
    <row r="129">
      <c r="A129" s="12"/>
      <c r="B129" s="12"/>
      <c r="C129" s="60"/>
    </row>
    <row r="130">
      <c r="A130" s="12"/>
      <c r="B130" s="12"/>
      <c r="C130" s="60"/>
    </row>
    <row r="131">
      <c r="A131" s="12"/>
      <c r="B131" s="12"/>
      <c r="C131" s="60"/>
    </row>
    <row r="132">
      <c r="A132" s="12"/>
      <c r="B132" s="12"/>
      <c r="C132" s="60"/>
    </row>
    <row r="133">
      <c r="A133" s="12"/>
      <c r="B133" s="12"/>
      <c r="C133" s="60"/>
    </row>
    <row r="134">
      <c r="A134" s="12"/>
      <c r="B134" s="12"/>
      <c r="C134" s="60"/>
    </row>
    <row r="135">
      <c r="A135" s="12"/>
      <c r="B135" s="12"/>
      <c r="C135" s="60"/>
    </row>
    <row r="136">
      <c r="A136" s="12"/>
      <c r="B136" s="12"/>
      <c r="C136" s="60"/>
    </row>
    <row r="137">
      <c r="A137" s="12"/>
      <c r="B137" s="12"/>
      <c r="C137" s="60"/>
    </row>
    <row r="138">
      <c r="A138" s="12"/>
      <c r="B138" s="12"/>
      <c r="C138" s="60"/>
    </row>
    <row r="139">
      <c r="A139" s="12"/>
      <c r="B139" s="12"/>
      <c r="C139" s="60"/>
    </row>
    <row r="140">
      <c r="A140" s="12"/>
      <c r="B140" s="12"/>
      <c r="C140" s="60"/>
    </row>
    <row r="141">
      <c r="A141" s="12"/>
      <c r="B141" s="12"/>
      <c r="C141" s="60"/>
    </row>
    <row r="142">
      <c r="A142" s="12"/>
      <c r="B142" s="12"/>
      <c r="C142" s="60"/>
    </row>
    <row r="143">
      <c r="A143" s="12"/>
      <c r="B143" s="12"/>
      <c r="C143" s="60"/>
    </row>
    <row r="144">
      <c r="A144" s="12"/>
      <c r="B144" s="12"/>
      <c r="C144" s="60"/>
    </row>
    <row r="145">
      <c r="A145" s="12"/>
      <c r="B145" s="12"/>
      <c r="C145" s="60"/>
    </row>
    <row r="146">
      <c r="A146" s="12"/>
      <c r="B146" s="12"/>
      <c r="C146" s="60"/>
    </row>
    <row r="147">
      <c r="A147" s="12"/>
      <c r="B147" s="12"/>
      <c r="C147" s="60"/>
    </row>
    <row r="148">
      <c r="A148" s="12"/>
      <c r="B148" s="12"/>
      <c r="C148" s="60"/>
    </row>
    <row r="149">
      <c r="A149" s="12"/>
      <c r="B149" s="12"/>
      <c r="C149" s="60"/>
    </row>
    <row r="150">
      <c r="A150" s="12"/>
      <c r="B150" s="12"/>
      <c r="C150" s="60"/>
    </row>
    <row r="151">
      <c r="A151" s="12"/>
      <c r="B151" s="12"/>
      <c r="C151" s="60"/>
    </row>
    <row r="152">
      <c r="A152" s="12"/>
      <c r="B152" s="12"/>
      <c r="C152" s="60"/>
    </row>
    <row r="153">
      <c r="A153" s="12"/>
      <c r="B153" s="12"/>
      <c r="C153" s="60"/>
    </row>
    <row r="154">
      <c r="A154" s="12"/>
      <c r="B154" s="12"/>
      <c r="C154" s="60"/>
    </row>
    <row r="155">
      <c r="A155" s="12"/>
      <c r="B155" s="12"/>
      <c r="C155" s="60"/>
    </row>
    <row r="156">
      <c r="A156" s="12"/>
      <c r="B156" s="12"/>
      <c r="C156" s="60"/>
    </row>
    <row r="157">
      <c r="A157" s="12"/>
      <c r="B157" s="12"/>
      <c r="C157" s="60"/>
    </row>
    <row r="158">
      <c r="A158" s="12"/>
      <c r="B158" s="12"/>
      <c r="C158" s="60"/>
    </row>
    <row r="159">
      <c r="A159" s="12"/>
      <c r="B159" s="12"/>
      <c r="C159" s="60"/>
    </row>
    <row r="160">
      <c r="A160" s="12"/>
      <c r="B160" s="12"/>
      <c r="C160" s="60"/>
    </row>
    <row r="161">
      <c r="A161" s="12"/>
      <c r="B161" s="12"/>
      <c r="C161" s="60"/>
    </row>
    <row r="162">
      <c r="A162" s="12"/>
      <c r="B162" s="12"/>
      <c r="C162" s="60"/>
    </row>
    <row r="163">
      <c r="A163" s="12"/>
      <c r="B163" s="12"/>
      <c r="C163" s="60"/>
    </row>
    <row r="164">
      <c r="A164" s="12"/>
      <c r="B164" s="12"/>
      <c r="C164" s="60"/>
    </row>
    <row r="165">
      <c r="A165" s="12"/>
      <c r="B165" s="12"/>
      <c r="C165" s="60"/>
    </row>
    <row r="166">
      <c r="A166" s="12"/>
      <c r="B166" s="12"/>
      <c r="C166" s="60"/>
    </row>
    <row r="167">
      <c r="A167" s="12"/>
      <c r="B167" s="12"/>
      <c r="C167" s="60"/>
    </row>
    <row r="168">
      <c r="A168" s="12"/>
      <c r="B168" s="12"/>
      <c r="C168" s="60"/>
    </row>
    <row r="169">
      <c r="A169" s="12"/>
      <c r="B169" s="12"/>
      <c r="C169" s="60"/>
    </row>
    <row r="170">
      <c r="A170" s="12"/>
      <c r="B170" s="12"/>
      <c r="C170" s="60"/>
    </row>
    <row r="171">
      <c r="A171" s="12"/>
      <c r="B171" s="12"/>
      <c r="C171" s="60"/>
    </row>
    <row r="172">
      <c r="A172" s="12"/>
      <c r="B172" s="12"/>
      <c r="C172" s="60"/>
    </row>
    <row r="173">
      <c r="A173" s="12"/>
      <c r="B173" s="12"/>
      <c r="C173" s="60"/>
    </row>
    <row r="174">
      <c r="A174" s="12"/>
      <c r="B174" s="12"/>
      <c r="C174" s="60"/>
    </row>
    <row r="175">
      <c r="A175" s="12"/>
      <c r="B175" s="12"/>
      <c r="C175" s="60"/>
    </row>
    <row r="176">
      <c r="A176" s="12"/>
      <c r="B176" s="12"/>
      <c r="C176" s="60"/>
    </row>
    <row r="177">
      <c r="A177" s="12"/>
      <c r="B177" s="12"/>
      <c r="C177" s="60"/>
    </row>
    <row r="178">
      <c r="A178" s="12"/>
      <c r="B178" s="12"/>
      <c r="C178" s="60"/>
    </row>
    <row r="179">
      <c r="A179" s="12"/>
      <c r="B179" s="12"/>
      <c r="C179" s="60"/>
    </row>
    <row r="180">
      <c r="A180" s="12"/>
      <c r="B180" s="12"/>
      <c r="C180" s="60"/>
    </row>
    <row r="181">
      <c r="A181" s="12"/>
      <c r="B181" s="12"/>
      <c r="C181" s="60"/>
    </row>
    <row r="182">
      <c r="A182" s="12"/>
      <c r="B182" s="12"/>
      <c r="C182" s="60"/>
    </row>
    <row r="183">
      <c r="A183" s="12"/>
      <c r="B183" s="12"/>
      <c r="C183" s="60"/>
    </row>
    <row r="184">
      <c r="A184" s="12"/>
      <c r="B184" s="12"/>
      <c r="C184" s="60"/>
    </row>
    <row r="185">
      <c r="A185" s="12"/>
      <c r="B185" s="12"/>
      <c r="C185" s="60"/>
    </row>
    <row r="186">
      <c r="A186" s="12"/>
      <c r="B186" s="12"/>
      <c r="C186" s="60"/>
    </row>
    <row r="187">
      <c r="A187" s="12"/>
      <c r="B187" s="12"/>
      <c r="C187" s="60"/>
    </row>
    <row r="188">
      <c r="A188" s="12"/>
      <c r="B188" s="12"/>
      <c r="C188" s="60"/>
    </row>
    <row r="189">
      <c r="A189" s="12"/>
      <c r="B189" s="12"/>
      <c r="C189" s="60"/>
    </row>
    <row r="190">
      <c r="A190" s="12"/>
      <c r="B190" s="12"/>
      <c r="C190" s="60"/>
    </row>
    <row r="191">
      <c r="A191" s="12"/>
      <c r="B191" s="12"/>
      <c r="C191" s="60"/>
    </row>
    <row r="192">
      <c r="A192" s="12"/>
      <c r="B192" s="12"/>
      <c r="C192" s="60"/>
    </row>
    <row r="193">
      <c r="A193" s="12"/>
      <c r="B193" s="12"/>
      <c r="C193" s="60"/>
    </row>
    <row r="194">
      <c r="A194" s="12"/>
      <c r="B194" s="12"/>
      <c r="C194" s="60"/>
    </row>
    <row r="195">
      <c r="A195" s="12"/>
      <c r="B195" s="12"/>
      <c r="C195" s="60"/>
    </row>
    <row r="196">
      <c r="A196" s="12"/>
      <c r="B196" s="12"/>
      <c r="C196" s="60"/>
    </row>
    <row r="197">
      <c r="A197" s="12"/>
      <c r="B197" s="12"/>
      <c r="C197" s="60"/>
    </row>
    <row r="198">
      <c r="A198" s="12"/>
      <c r="B198" s="12"/>
      <c r="C198" s="60"/>
    </row>
    <row r="199">
      <c r="A199" s="12"/>
      <c r="B199" s="12"/>
      <c r="C199" s="60"/>
    </row>
    <row r="200">
      <c r="A200" s="12"/>
      <c r="B200" s="12"/>
      <c r="C200" s="60"/>
    </row>
    <row r="201">
      <c r="A201" s="12"/>
      <c r="B201" s="12"/>
      <c r="C201" s="60"/>
    </row>
    <row r="202">
      <c r="A202" s="12"/>
      <c r="B202" s="12"/>
      <c r="C202" s="60"/>
    </row>
    <row r="203">
      <c r="A203" s="12"/>
      <c r="B203" s="12"/>
      <c r="C203" s="60"/>
    </row>
    <row r="204">
      <c r="A204" s="12"/>
      <c r="B204" s="12"/>
      <c r="C204" s="60"/>
    </row>
    <row r="205">
      <c r="A205" s="12"/>
      <c r="B205" s="12"/>
      <c r="C205" s="60"/>
    </row>
    <row r="206">
      <c r="A206" s="12"/>
      <c r="B206" s="12"/>
      <c r="C206" s="60"/>
    </row>
    <row r="207">
      <c r="A207" s="12"/>
      <c r="B207" s="12"/>
      <c r="C207" s="60"/>
    </row>
    <row r="208">
      <c r="A208" s="12"/>
      <c r="B208" s="12"/>
      <c r="C208" s="60"/>
    </row>
    <row r="209">
      <c r="A209" s="12"/>
      <c r="B209" s="12"/>
      <c r="C209" s="60"/>
    </row>
    <row r="210">
      <c r="A210" s="12"/>
      <c r="B210" s="12"/>
      <c r="C210" s="60"/>
    </row>
    <row r="211">
      <c r="A211" s="12"/>
      <c r="B211" s="12"/>
      <c r="C211" s="60"/>
    </row>
    <row r="212">
      <c r="A212" s="12"/>
      <c r="B212" s="12"/>
      <c r="C212" s="60"/>
    </row>
    <row r="213">
      <c r="A213" s="12"/>
      <c r="B213" s="12"/>
      <c r="C213" s="60"/>
    </row>
    <row r="214">
      <c r="A214" s="12"/>
      <c r="B214" s="12"/>
      <c r="C214" s="60"/>
    </row>
    <row r="215">
      <c r="A215" s="12"/>
      <c r="B215" s="12"/>
      <c r="C215" s="60"/>
    </row>
    <row r="216">
      <c r="A216" s="12"/>
      <c r="B216" s="12"/>
      <c r="C216" s="60"/>
    </row>
    <row r="217">
      <c r="A217" s="12"/>
      <c r="B217" s="12"/>
      <c r="C217" s="60"/>
    </row>
    <row r="218">
      <c r="A218" s="12"/>
      <c r="B218" s="12"/>
      <c r="C218" s="60"/>
    </row>
    <row r="219">
      <c r="A219" s="12"/>
      <c r="B219" s="12"/>
      <c r="C219" s="60"/>
    </row>
    <row r="220">
      <c r="A220" s="12"/>
      <c r="B220" s="12"/>
      <c r="C220" s="60"/>
    </row>
    <row r="221">
      <c r="A221" s="12"/>
      <c r="B221" s="12"/>
      <c r="C221" s="60"/>
    </row>
    <row r="222">
      <c r="A222" s="12"/>
      <c r="B222" s="12"/>
      <c r="C222" s="60"/>
    </row>
    <row r="223">
      <c r="A223" s="12"/>
      <c r="B223" s="12"/>
      <c r="C223" s="60"/>
    </row>
    <row r="224">
      <c r="A224" s="12"/>
      <c r="B224" s="12"/>
      <c r="C224" s="60"/>
    </row>
    <row r="225">
      <c r="A225" s="12"/>
      <c r="B225" s="12"/>
      <c r="C225" s="60"/>
    </row>
    <row r="226">
      <c r="A226" s="12"/>
      <c r="B226" s="12"/>
      <c r="C226" s="60"/>
    </row>
    <row r="227">
      <c r="A227" s="12"/>
      <c r="B227" s="12"/>
      <c r="C227" s="60"/>
    </row>
    <row r="228">
      <c r="A228" s="12"/>
      <c r="B228" s="12"/>
      <c r="C228" s="60"/>
    </row>
    <row r="229">
      <c r="A229" s="12"/>
      <c r="B229" s="12"/>
      <c r="C229" s="60"/>
    </row>
    <row r="230">
      <c r="A230" s="12"/>
      <c r="B230" s="12"/>
      <c r="C230" s="60"/>
    </row>
    <row r="231">
      <c r="A231" s="12"/>
      <c r="B231" s="12"/>
      <c r="C231" s="60"/>
    </row>
    <row r="232">
      <c r="A232" s="12"/>
      <c r="B232" s="12"/>
      <c r="C232" s="60"/>
    </row>
    <row r="233">
      <c r="A233" s="12"/>
      <c r="B233" s="12"/>
      <c r="C233" s="60"/>
    </row>
    <row r="234">
      <c r="A234" s="12"/>
      <c r="B234" s="12"/>
      <c r="C234" s="60"/>
    </row>
    <row r="235">
      <c r="A235" s="12"/>
      <c r="B235" s="12"/>
      <c r="C235" s="60"/>
    </row>
    <row r="236">
      <c r="A236" s="12"/>
      <c r="B236" s="12"/>
      <c r="C236" s="60"/>
    </row>
    <row r="237">
      <c r="A237" s="12"/>
      <c r="B237" s="12"/>
      <c r="C237" s="60"/>
    </row>
    <row r="238">
      <c r="A238" s="12"/>
      <c r="B238" s="12"/>
      <c r="C238" s="60"/>
    </row>
    <row r="239">
      <c r="A239" s="12"/>
      <c r="B239" s="12"/>
      <c r="C239" s="60"/>
    </row>
    <row r="240">
      <c r="A240" s="12"/>
      <c r="B240" s="12"/>
      <c r="C240" s="60"/>
    </row>
    <row r="241">
      <c r="A241" s="12"/>
      <c r="B241" s="12"/>
      <c r="C241" s="60"/>
    </row>
    <row r="242">
      <c r="A242" s="12"/>
      <c r="B242" s="12"/>
      <c r="C242" s="60"/>
    </row>
    <row r="243">
      <c r="A243" s="12"/>
      <c r="B243" s="12"/>
      <c r="C243" s="60"/>
    </row>
    <row r="244">
      <c r="A244" s="12"/>
      <c r="B244" s="12"/>
      <c r="C244" s="60"/>
    </row>
    <row r="245">
      <c r="A245" s="12"/>
      <c r="B245" s="12"/>
      <c r="C245" s="60"/>
    </row>
    <row r="246">
      <c r="A246" s="12"/>
      <c r="B246" s="12"/>
      <c r="C246" s="60"/>
    </row>
    <row r="247">
      <c r="A247" s="12"/>
      <c r="B247" s="12"/>
      <c r="C247" s="60"/>
    </row>
    <row r="248">
      <c r="A248" s="12"/>
      <c r="B248" s="12"/>
      <c r="C248" s="60"/>
    </row>
    <row r="249">
      <c r="A249" s="12"/>
      <c r="B249" s="12"/>
      <c r="C249" s="60"/>
    </row>
    <row r="250">
      <c r="A250" s="12"/>
      <c r="B250" s="12"/>
      <c r="C250" s="60"/>
    </row>
    <row r="251">
      <c r="A251" s="12"/>
      <c r="B251" s="12"/>
      <c r="C251" s="60"/>
    </row>
    <row r="252">
      <c r="A252" s="12"/>
      <c r="B252" s="12"/>
      <c r="C252" s="60"/>
    </row>
    <row r="253">
      <c r="A253" s="12"/>
      <c r="B253" s="12"/>
      <c r="C253" s="60"/>
    </row>
    <row r="254">
      <c r="A254" s="12"/>
      <c r="B254" s="12"/>
      <c r="C254" s="60"/>
    </row>
    <row r="255">
      <c r="A255" s="12"/>
      <c r="B255" s="12"/>
      <c r="C255" s="60"/>
    </row>
    <row r="256">
      <c r="A256" s="12"/>
      <c r="B256" s="12"/>
      <c r="C256" s="60"/>
    </row>
    <row r="257">
      <c r="A257" s="12"/>
      <c r="B257" s="12"/>
      <c r="C257" s="60"/>
    </row>
    <row r="258">
      <c r="A258" s="12"/>
      <c r="B258" s="12"/>
      <c r="C258" s="60"/>
    </row>
    <row r="259">
      <c r="A259" s="12"/>
      <c r="B259" s="12"/>
      <c r="C259" s="60"/>
    </row>
    <row r="260">
      <c r="A260" s="12"/>
      <c r="B260" s="12"/>
      <c r="C260" s="60"/>
    </row>
    <row r="261">
      <c r="A261" s="12"/>
      <c r="B261" s="12"/>
      <c r="C261" s="60"/>
    </row>
    <row r="262">
      <c r="A262" s="12"/>
      <c r="B262" s="12"/>
      <c r="C262" s="60"/>
    </row>
    <row r="263">
      <c r="A263" s="12"/>
      <c r="B263" s="12"/>
      <c r="C263" s="60"/>
    </row>
    <row r="264">
      <c r="A264" s="12"/>
      <c r="B264" s="12"/>
      <c r="C264" s="60"/>
    </row>
    <row r="265">
      <c r="A265" s="12"/>
      <c r="B265" s="12"/>
      <c r="C265" s="60"/>
    </row>
    <row r="266">
      <c r="A266" s="12"/>
      <c r="B266" s="12"/>
      <c r="C266" s="60"/>
    </row>
    <row r="267">
      <c r="A267" s="12"/>
      <c r="B267" s="12"/>
      <c r="C267" s="60"/>
    </row>
    <row r="268">
      <c r="A268" s="12"/>
      <c r="B268" s="12"/>
      <c r="C268" s="60"/>
    </row>
    <row r="269">
      <c r="A269" s="12"/>
      <c r="B269" s="12"/>
      <c r="C269" s="60"/>
    </row>
    <row r="270">
      <c r="A270" s="12"/>
      <c r="B270" s="12"/>
      <c r="C270" s="60"/>
    </row>
    <row r="271">
      <c r="A271" s="12"/>
      <c r="B271" s="12"/>
      <c r="C271" s="60"/>
    </row>
    <row r="272">
      <c r="A272" s="12"/>
      <c r="B272" s="12"/>
      <c r="C272" s="60"/>
    </row>
    <row r="273">
      <c r="A273" s="12"/>
      <c r="B273" s="12"/>
      <c r="C273" s="60"/>
    </row>
    <row r="274">
      <c r="A274" s="12"/>
      <c r="B274" s="12"/>
      <c r="C274" s="60"/>
    </row>
    <row r="275">
      <c r="A275" s="12"/>
      <c r="B275" s="12"/>
      <c r="C275" s="60"/>
    </row>
    <row r="276">
      <c r="A276" s="12"/>
      <c r="B276" s="12"/>
      <c r="C276" s="60"/>
    </row>
    <row r="277">
      <c r="A277" s="12"/>
      <c r="B277" s="12"/>
      <c r="C277" s="60"/>
    </row>
    <row r="278">
      <c r="A278" s="12"/>
      <c r="B278" s="12"/>
      <c r="C278" s="60"/>
    </row>
    <row r="279">
      <c r="A279" s="12"/>
      <c r="B279" s="12"/>
      <c r="C279" s="60"/>
    </row>
    <row r="280">
      <c r="A280" s="12"/>
      <c r="B280" s="12"/>
      <c r="C280" s="60"/>
    </row>
    <row r="281">
      <c r="A281" s="12"/>
      <c r="B281" s="12"/>
      <c r="C281" s="60"/>
    </row>
    <row r="282">
      <c r="A282" s="12"/>
      <c r="B282" s="12"/>
      <c r="C282" s="60"/>
    </row>
    <row r="283">
      <c r="A283" s="12"/>
      <c r="B283" s="12"/>
      <c r="C283" s="60"/>
    </row>
    <row r="284">
      <c r="A284" s="12"/>
      <c r="B284" s="12"/>
      <c r="C284" s="60"/>
    </row>
    <row r="285">
      <c r="A285" s="12"/>
      <c r="B285" s="12"/>
      <c r="C285" s="60"/>
    </row>
    <row r="286">
      <c r="A286" s="12"/>
      <c r="B286" s="12"/>
      <c r="C286" s="60"/>
    </row>
    <row r="287">
      <c r="A287" s="12"/>
      <c r="B287" s="12"/>
      <c r="C287" s="60"/>
    </row>
    <row r="288">
      <c r="A288" s="12"/>
      <c r="B288" s="12"/>
      <c r="C288" s="60"/>
    </row>
    <row r="289">
      <c r="A289" s="12"/>
      <c r="B289" s="12"/>
      <c r="C289" s="60"/>
    </row>
    <row r="290">
      <c r="A290" s="12"/>
      <c r="B290" s="12"/>
      <c r="C290" s="60"/>
    </row>
    <row r="291">
      <c r="A291" s="12"/>
      <c r="B291" s="12"/>
      <c r="C291" s="60"/>
    </row>
    <row r="292">
      <c r="A292" s="12"/>
      <c r="B292" s="12"/>
      <c r="C292" s="60"/>
    </row>
    <row r="293">
      <c r="A293" s="12"/>
      <c r="B293" s="12"/>
      <c r="C293" s="60"/>
    </row>
    <row r="294">
      <c r="A294" s="12"/>
      <c r="B294" s="12"/>
      <c r="C294" s="60"/>
    </row>
    <row r="295">
      <c r="A295" s="12"/>
      <c r="B295" s="12"/>
      <c r="C295" s="60"/>
    </row>
    <row r="296">
      <c r="A296" s="12"/>
      <c r="B296" s="12"/>
      <c r="C296" s="60"/>
    </row>
    <row r="297">
      <c r="A297" s="12"/>
      <c r="B297" s="12"/>
      <c r="C297" s="60"/>
    </row>
    <row r="298">
      <c r="A298" s="12"/>
      <c r="B298" s="12"/>
      <c r="C298" s="60"/>
    </row>
    <row r="299">
      <c r="A299" s="12"/>
      <c r="B299" s="12"/>
      <c r="C299" s="60"/>
    </row>
    <row r="300">
      <c r="A300" s="12"/>
      <c r="B300" s="12"/>
      <c r="C300" s="60"/>
    </row>
    <row r="301">
      <c r="A301" s="12"/>
      <c r="B301" s="12"/>
      <c r="C301" s="60"/>
    </row>
    <row r="302">
      <c r="A302" s="12"/>
      <c r="B302" s="12"/>
      <c r="C302" s="60"/>
    </row>
    <row r="303">
      <c r="A303" s="12"/>
      <c r="B303" s="12"/>
      <c r="C303" s="60"/>
    </row>
    <row r="304">
      <c r="A304" s="12"/>
      <c r="B304" s="12"/>
      <c r="C304" s="60"/>
    </row>
    <row r="305">
      <c r="A305" s="12"/>
      <c r="B305" s="12"/>
      <c r="C305" s="60"/>
    </row>
    <row r="306">
      <c r="A306" s="12"/>
      <c r="B306" s="12"/>
      <c r="C306" s="60"/>
    </row>
    <row r="307">
      <c r="A307" s="12"/>
      <c r="B307" s="12"/>
      <c r="C307" s="60"/>
    </row>
    <row r="308">
      <c r="A308" s="12"/>
      <c r="B308" s="12"/>
      <c r="C308" s="60"/>
    </row>
    <row r="309">
      <c r="A309" s="12"/>
      <c r="B309" s="12"/>
      <c r="C309" s="60"/>
    </row>
    <row r="310">
      <c r="A310" s="12"/>
      <c r="B310" s="12"/>
      <c r="C310" s="60"/>
    </row>
    <row r="311">
      <c r="A311" s="12"/>
      <c r="B311" s="12"/>
      <c r="C311" s="60"/>
    </row>
    <row r="312">
      <c r="A312" s="12"/>
      <c r="B312" s="12"/>
      <c r="C312" s="60"/>
    </row>
    <row r="313">
      <c r="A313" s="12"/>
      <c r="B313" s="12"/>
      <c r="C313" s="60"/>
    </row>
    <row r="314">
      <c r="A314" s="12"/>
      <c r="B314" s="12"/>
      <c r="C314" s="60"/>
    </row>
    <row r="315">
      <c r="A315" s="12"/>
      <c r="B315" s="12"/>
      <c r="C315" s="60"/>
    </row>
    <row r="316">
      <c r="A316" s="12"/>
      <c r="B316" s="12"/>
      <c r="C316" s="60"/>
    </row>
    <row r="317">
      <c r="A317" s="12"/>
      <c r="B317" s="12"/>
      <c r="C317" s="60"/>
    </row>
    <row r="318">
      <c r="A318" s="12"/>
      <c r="B318" s="12"/>
      <c r="C318" s="60"/>
    </row>
    <row r="319">
      <c r="A319" s="12"/>
      <c r="B319" s="12"/>
      <c r="C319" s="60"/>
    </row>
    <row r="320">
      <c r="A320" s="12"/>
      <c r="B320" s="12"/>
      <c r="C320" s="60"/>
    </row>
    <row r="321">
      <c r="A321" s="12"/>
      <c r="B321" s="12"/>
      <c r="C321" s="60"/>
    </row>
    <row r="322">
      <c r="A322" s="12"/>
      <c r="B322" s="12"/>
      <c r="C322" s="60"/>
    </row>
    <row r="323">
      <c r="A323" s="12"/>
      <c r="B323" s="12"/>
      <c r="C323" s="60"/>
    </row>
    <row r="324">
      <c r="A324" s="12"/>
      <c r="B324" s="12"/>
      <c r="C324" s="60"/>
    </row>
    <row r="325">
      <c r="A325" s="12"/>
      <c r="B325" s="12"/>
      <c r="C325" s="60"/>
    </row>
    <row r="326">
      <c r="A326" s="12"/>
      <c r="B326" s="12"/>
      <c r="C326" s="60"/>
    </row>
    <row r="327">
      <c r="A327" s="12"/>
      <c r="B327" s="12"/>
      <c r="C327" s="60"/>
    </row>
    <row r="328">
      <c r="A328" s="12"/>
      <c r="B328" s="12"/>
      <c r="C328" s="60"/>
    </row>
    <row r="329">
      <c r="A329" s="12"/>
      <c r="B329" s="12"/>
      <c r="C329" s="60"/>
    </row>
    <row r="330">
      <c r="A330" s="12"/>
      <c r="B330" s="12"/>
      <c r="C330" s="60"/>
    </row>
    <row r="331">
      <c r="A331" s="12"/>
      <c r="B331" s="12"/>
      <c r="C331" s="60"/>
    </row>
    <row r="332">
      <c r="A332" s="12"/>
      <c r="B332" s="12"/>
      <c r="C332" s="60"/>
    </row>
    <row r="333">
      <c r="A333" s="12"/>
      <c r="B333" s="12"/>
      <c r="C333" s="60"/>
    </row>
    <row r="334">
      <c r="A334" s="12"/>
      <c r="B334" s="12"/>
      <c r="C334" s="60"/>
    </row>
    <row r="335">
      <c r="A335" s="12"/>
      <c r="B335" s="12"/>
      <c r="C335" s="60"/>
    </row>
    <row r="336">
      <c r="A336" s="12"/>
      <c r="B336" s="12"/>
      <c r="C336" s="60"/>
    </row>
    <row r="337">
      <c r="A337" s="12"/>
      <c r="B337" s="12"/>
      <c r="C337" s="60"/>
    </row>
    <row r="338">
      <c r="A338" s="12"/>
      <c r="B338" s="12"/>
      <c r="C338" s="60"/>
    </row>
    <row r="339">
      <c r="A339" s="12"/>
      <c r="B339" s="12"/>
      <c r="C339" s="60"/>
    </row>
    <row r="340">
      <c r="A340" s="12"/>
      <c r="B340" s="12"/>
      <c r="C340" s="60"/>
    </row>
    <row r="341">
      <c r="A341" s="12"/>
      <c r="B341" s="12"/>
      <c r="C341" s="60"/>
    </row>
    <row r="342">
      <c r="A342" s="12"/>
      <c r="B342" s="12"/>
      <c r="C342" s="60"/>
    </row>
    <row r="343">
      <c r="A343" s="12"/>
      <c r="B343" s="12"/>
      <c r="C343" s="60"/>
    </row>
    <row r="344">
      <c r="A344" s="12"/>
      <c r="B344" s="12"/>
      <c r="C344" s="60"/>
    </row>
    <row r="345">
      <c r="A345" s="12"/>
      <c r="B345" s="12"/>
      <c r="C345" s="60"/>
    </row>
    <row r="346">
      <c r="A346" s="12"/>
      <c r="B346" s="12"/>
      <c r="C346" s="60"/>
    </row>
    <row r="347">
      <c r="A347" s="12"/>
      <c r="B347" s="12"/>
      <c r="C347" s="60"/>
    </row>
    <row r="348">
      <c r="A348" s="12"/>
      <c r="B348" s="12"/>
      <c r="C348" s="60"/>
    </row>
    <row r="349">
      <c r="A349" s="12"/>
      <c r="B349" s="12"/>
      <c r="C349" s="60"/>
    </row>
    <row r="350">
      <c r="A350" s="12"/>
      <c r="B350" s="12"/>
      <c r="C350" s="60"/>
    </row>
    <row r="351">
      <c r="A351" s="12"/>
      <c r="B351" s="12"/>
      <c r="C351" s="60"/>
    </row>
    <row r="352">
      <c r="A352" s="12"/>
      <c r="B352" s="12"/>
      <c r="C352" s="60"/>
    </row>
    <row r="353">
      <c r="A353" s="12"/>
      <c r="B353" s="12"/>
      <c r="C353" s="60"/>
    </row>
    <row r="354">
      <c r="A354" s="12"/>
      <c r="B354" s="12"/>
      <c r="C354" s="60"/>
    </row>
    <row r="355">
      <c r="A355" s="12"/>
      <c r="B355" s="12"/>
      <c r="C355" s="60"/>
    </row>
    <row r="356">
      <c r="A356" s="12"/>
      <c r="B356" s="12"/>
      <c r="C356" s="60"/>
    </row>
    <row r="357">
      <c r="A357" s="12"/>
      <c r="B357" s="12"/>
      <c r="C357" s="60"/>
    </row>
    <row r="358">
      <c r="A358" s="12"/>
      <c r="B358" s="12"/>
      <c r="C358" s="60"/>
    </row>
    <row r="359">
      <c r="A359" s="12"/>
      <c r="B359" s="12"/>
      <c r="C359" s="60"/>
    </row>
    <row r="360">
      <c r="A360" s="12"/>
      <c r="B360" s="12"/>
      <c r="C360" s="60"/>
    </row>
    <row r="361">
      <c r="A361" s="12"/>
      <c r="B361" s="12"/>
      <c r="C361" s="60"/>
    </row>
    <row r="362">
      <c r="A362" s="12"/>
      <c r="B362" s="12"/>
      <c r="C362" s="60"/>
    </row>
    <row r="363">
      <c r="A363" s="12"/>
      <c r="B363" s="12"/>
      <c r="C363" s="60"/>
    </row>
    <row r="364">
      <c r="A364" s="12"/>
      <c r="B364" s="12"/>
      <c r="C364" s="60"/>
    </row>
    <row r="365">
      <c r="A365" s="12"/>
      <c r="B365" s="12"/>
      <c r="C365" s="60"/>
    </row>
    <row r="366">
      <c r="A366" s="12"/>
      <c r="B366" s="12"/>
      <c r="C366" s="60"/>
    </row>
    <row r="367">
      <c r="A367" s="12"/>
      <c r="B367" s="12"/>
      <c r="C367" s="60"/>
    </row>
    <row r="368">
      <c r="A368" s="12"/>
      <c r="B368" s="12"/>
      <c r="C368" s="60"/>
    </row>
    <row r="369">
      <c r="A369" s="12"/>
      <c r="B369" s="12"/>
      <c r="C369" s="60"/>
    </row>
    <row r="370">
      <c r="A370" s="12"/>
      <c r="B370" s="12"/>
      <c r="C370" s="60"/>
    </row>
    <row r="371">
      <c r="A371" s="12"/>
      <c r="B371" s="12"/>
      <c r="C371" s="60"/>
    </row>
    <row r="372">
      <c r="A372" s="12"/>
      <c r="B372" s="12"/>
      <c r="C372" s="60"/>
    </row>
    <row r="373">
      <c r="A373" s="12"/>
      <c r="B373" s="12"/>
      <c r="C373" s="60"/>
    </row>
    <row r="374">
      <c r="A374" s="12"/>
      <c r="B374" s="12"/>
      <c r="C374" s="60"/>
    </row>
    <row r="375">
      <c r="A375" s="12"/>
      <c r="B375" s="12"/>
      <c r="C375" s="60"/>
    </row>
    <row r="376">
      <c r="A376" s="12"/>
      <c r="B376" s="12"/>
      <c r="C376" s="60"/>
    </row>
    <row r="377">
      <c r="A377" s="12"/>
      <c r="B377" s="12"/>
      <c r="C377" s="60"/>
    </row>
    <row r="378">
      <c r="A378" s="12"/>
      <c r="B378" s="12"/>
      <c r="C378" s="60"/>
    </row>
    <row r="379">
      <c r="A379" s="12"/>
      <c r="B379" s="12"/>
      <c r="C379" s="60"/>
    </row>
    <row r="380">
      <c r="A380" s="12"/>
      <c r="B380" s="12"/>
      <c r="C380" s="60"/>
    </row>
    <row r="381">
      <c r="A381" s="12"/>
      <c r="B381" s="12"/>
      <c r="C381" s="60"/>
    </row>
    <row r="382">
      <c r="A382" s="12"/>
      <c r="B382" s="12"/>
      <c r="C382" s="60"/>
    </row>
    <row r="383">
      <c r="A383" s="12"/>
      <c r="B383" s="12"/>
      <c r="C383" s="60"/>
    </row>
    <row r="384">
      <c r="A384" s="12"/>
      <c r="B384" s="12"/>
      <c r="C384" s="60"/>
    </row>
    <row r="385">
      <c r="A385" s="12"/>
      <c r="B385" s="12"/>
      <c r="C385" s="60"/>
    </row>
    <row r="386">
      <c r="A386" s="12"/>
      <c r="B386" s="12"/>
      <c r="C386" s="60"/>
    </row>
    <row r="387">
      <c r="A387" s="12"/>
      <c r="B387" s="12"/>
      <c r="C387" s="60"/>
    </row>
    <row r="388">
      <c r="A388" s="12"/>
      <c r="B388" s="12"/>
      <c r="C388" s="60"/>
    </row>
    <row r="389">
      <c r="A389" s="12"/>
      <c r="B389" s="12"/>
      <c r="C389" s="60"/>
    </row>
    <row r="390">
      <c r="A390" s="12"/>
      <c r="B390" s="12"/>
      <c r="C390" s="60"/>
    </row>
    <row r="391">
      <c r="A391" s="12"/>
      <c r="B391" s="12"/>
      <c r="C391" s="60"/>
    </row>
    <row r="392">
      <c r="A392" s="12"/>
      <c r="B392" s="12"/>
      <c r="C392" s="60"/>
    </row>
    <row r="393">
      <c r="A393" s="12"/>
      <c r="B393" s="12"/>
      <c r="C393" s="60"/>
    </row>
    <row r="394">
      <c r="A394" s="12"/>
      <c r="B394" s="12"/>
      <c r="C394" s="60"/>
    </row>
    <row r="395">
      <c r="A395" s="12"/>
      <c r="B395" s="12"/>
      <c r="C395" s="60"/>
    </row>
    <row r="396">
      <c r="A396" s="12"/>
      <c r="B396" s="12"/>
      <c r="C396" s="60"/>
    </row>
    <row r="397">
      <c r="A397" s="12"/>
      <c r="B397" s="12"/>
      <c r="C397" s="60"/>
    </row>
    <row r="398">
      <c r="A398" s="12"/>
      <c r="B398" s="12"/>
      <c r="C398" s="60"/>
    </row>
    <row r="399">
      <c r="A399" s="12"/>
      <c r="B399" s="12"/>
      <c r="C399" s="60"/>
    </row>
    <row r="400">
      <c r="A400" s="12"/>
      <c r="B400" s="12"/>
      <c r="C400" s="60"/>
    </row>
    <row r="401">
      <c r="A401" s="12"/>
      <c r="B401" s="12"/>
      <c r="C401" s="60"/>
    </row>
    <row r="402">
      <c r="A402" s="12"/>
      <c r="B402" s="12"/>
      <c r="C402" s="60"/>
    </row>
    <row r="403">
      <c r="A403" s="12"/>
      <c r="B403" s="12"/>
      <c r="C403" s="60"/>
    </row>
    <row r="404">
      <c r="A404" s="12"/>
      <c r="B404" s="12"/>
      <c r="C404" s="60"/>
    </row>
    <row r="405">
      <c r="A405" s="12"/>
      <c r="B405" s="12"/>
      <c r="C405" s="60"/>
    </row>
    <row r="406">
      <c r="A406" s="12"/>
      <c r="B406" s="12"/>
      <c r="C406" s="60"/>
    </row>
    <row r="407">
      <c r="A407" s="12"/>
      <c r="B407" s="12"/>
      <c r="C407" s="60"/>
    </row>
    <row r="408">
      <c r="A408" s="12"/>
      <c r="B408" s="12"/>
      <c r="C408" s="60"/>
    </row>
    <row r="409">
      <c r="A409" s="12"/>
      <c r="B409" s="12"/>
      <c r="C409" s="60"/>
    </row>
    <row r="410">
      <c r="A410" s="12"/>
      <c r="B410" s="12"/>
      <c r="C410" s="60"/>
    </row>
    <row r="411">
      <c r="A411" s="12"/>
      <c r="B411" s="12"/>
      <c r="C411" s="60"/>
    </row>
    <row r="412">
      <c r="A412" s="12"/>
      <c r="B412" s="12"/>
      <c r="C412" s="60"/>
    </row>
    <row r="413">
      <c r="A413" s="12"/>
      <c r="B413" s="12"/>
      <c r="C413" s="60"/>
    </row>
    <row r="414">
      <c r="A414" s="12"/>
      <c r="B414" s="12"/>
      <c r="C414" s="60"/>
    </row>
    <row r="415">
      <c r="A415" s="12"/>
      <c r="B415" s="12"/>
      <c r="C415" s="60"/>
    </row>
    <row r="416">
      <c r="A416" s="12"/>
      <c r="B416" s="12"/>
      <c r="C416" s="60"/>
    </row>
    <row r="417">
      <c r="A417" s="12"/>
      <c r="B417" s="12"/>
      <c r="C417" s="60"/>
    </row>
    <row r="418">
      <c r="A418" s="12"/>
      <c r="B418" s="12"/>
      <c r="C418" s="60"/>
    </row>
    <row r="419">
      <c r="A419" s="12"/>
      <c r="B419" s="12"/>
      <c r="C419" s="60"/>
    </row>
    <row r="420">
      <c r="A420" s="12"/>
      <c r="B420" s="12"/>
      <c r="C420" s="60"/>
    </row>
    <row r="421">
      <c r="A421" s="12"/>
      <c r="B421" s="12"/>
      <c r="C421" s="60"/>
    </row>
    <row r="422">
      <c r="A422" s="12"/>
      <c r="B422" s="12"/>
      <c r="C422" s="60"/>
    </row>
    <row r="423">
      <c r="A423" s="12"/>
      <c r="B423" s="12"/>
      <c r="C423" s="60"/>
    </row>
    <row r="424">
      <c r="A424" s="12"/>
      <c r="B424" s="12"/>
      <c r="C424" s="60"/>
    </row>
    <row r="425">
      <c r="A425" s="12"/>
      <c r="B425" s="12"/>
      <c r="C425" s="60"/>
    </row>
    <row r="426">
      <c r="A426" s="12"/>
      <c r="B426" s="12"/>
      <c r="C426" s="60"/>
    </row>
    <row r="427">
      <c r="A427" s="12"/>
      <c r="B427" s="12"/>
      <c r="C427" s="60"/>
    </row>
    <row r="428">
      <c r="A428" s="12"/>
      <c r="B428" s="12"/>
      <c r="C428" s="60"/>
    </row>
    <row r="429">
      <c r="A429" s="12"/>
      <c r="B429" s="12"/>
      <c r="C429" s="60"/>
    </row>
    <row r="430">
      <c r="A430" s="12"/>
      <c r="B430" s="12"/>
      <c r="C430" s="60"/>
    </row>
    <row r="431">
      <c r="A431" s="12"/>
      <c r="B431" s="12"/>
      <c r="C431" s="60"/>
    </row>
    <row r="432">
      <c r="A432" s="12"/>
      <c r="B432" s="12"/>
      <c r="C432" s="60"/>
    </row>
    <row r="433">
      <c r="A433" s="12"/>
      <c r="B433" s="12"/>
      <c r="C433" s="60"/>
    </row>
    <row r="434">
      <c r="A434" s="12"/>
      <c r="B434" s="12"/>
      <c r="C434" s="60"/>
    </row>
    <row r="435">
      <c r="A435" s="12"/>
      <c r="B435" s="12"/>
      <c r="C435" s="60"/>
    </row>
    <row r="436">
      <c r="A436" s="12"/>
      <c r="B436" s="12"/>
      <c r="C436" s="60"/>
    </row>
    <row r="437">
      <c r="A437" s="12"/>
      <c r="B437" s="12"/>
      <c r="C437" s="60"/>
    </row>
    <row r="438">
      <c r="A438" s="12"/>
      <c r="B438" s="12"/>
      <c r="C438" s="60"/>
    </row>
    <row r="439">
      <c r="A439" s="12"/>
      <c r="B439" s="12"/>
      <c r="C439" s="60"/>
    </row>
    <row r="440">
      <c r="A440" s="12"/>
      <c r="B440" s="12"/>
      <c r="C440" s="60"/>
    </row>
    <row r="441">
      <c r="A441" s="12"/>
      <c r="B441" s="12"/>
      <c r="C441" s="60"/>
    </row>
    <row r="442">
      <c r="A442" s="12"/>
      <c r="B442" s="12"/>
      <c r="C442" s="60"/>
    </row>
    <row r="443">
      <c r="A443" s="12"/>
      <c r="B443" s="12"/>
      <c r="C443" s="60"/>
    </row>
    <row r="444">
      <c r="A444" s="12"/>
      <c r="B444" s="12"/>
      <c r="C444" s="60"/>
    </row>
    <row r="445">
      <c r="A445" s="12"/>
      <c r="B445" s="12"/>
      <c r="C445" s="60"/>
    </row>
    <row r="446">
      <c r="A446" s="12"/>
      <c r="B446" s="12"/>
      <c r="C446" s="60"/>
    </row>
    <row r="447">
      <c r="A447" s="12"/>
      <c r="B447" s="12"/>
      <c r="C447" s="60"/>
    </row>
    <row r="448">
      <c r="A448" s="12"/>
      <c r="B448" s="12"/>
      <c r="C448" s="60"/>
    </row>
    <row r="449">
      <c r="A449" s="12"/>
      <c r="B449" s="12"/>
      <c r="C449" s="60"/>
    </row>
    <row r="450">
      <c r="A450" s="12"/>
      <c r="B450" s="12"/>
      <c r="C450" s="60"/>
    </row>
    <row r="451">
      <c r="A451" s="12"/>
      <c r="B451" s="12"/>
      <c r="C451" s="60"/>
    </row>
    <row r="452">
      <c r="A452" s="12"/>
      <c r="B452" s="12"/>
      <c r="C452" s="60"/>
    </row>
    <row r="453">
      <c r="A453" s="12"/>
      <c r="B453" s="12"/>
      <c r="C453" s="60"/>
    </row>
    <row r="454">
      <c r="A454" s="12"/>
      <c r="B454" s="12"/>
      <c r="C454" s="60"/>
    </row>
    <row r="455">
      <c r="A455" s="12"/>
      <c r="B455" s="12"/>
      <c r="C455" s="60"/>
    </row>
    <row r="456">
      <c r="A456" s="12"/>
      <c r="B456" s="12"/>
      <c r="C456" s="60"/>
    </row>
    <row r="457">
      <c r="A457" s="12"/>
      <c r="B457" s="12"/>
      <c r="C457" s="60"/>
    </row>
    <row r="458">
      <c r="A458" s="12"/>
      <c r="B458" s="12"/>
      <c r="C458" s="60"/>
    </row>
    <row r="459">
      <c r="A459" s="12"/>
      <c r="B459" s="12"/>
      <c r="C459" s="60"/>
    </row>
    <row r="460">
      <c r="A460" s="12"/>
      <c r="B460" s="12"/>
      <c r="C460" s="60"/>
    </row>
    <row r="461">
      <c r="A461" s="12"/>
      <c r="B461" s="12"/>
      <c r="C461" s="60"/>
    </row>
    <row r="462">
      <c r="A462" s="12"/>
      <c r="B462" s="12"/>
      <c r="C462" s="60"/>
    </row>
    <row r="463">
      <c r="A463" s="12"/>
      <c r="B463" s="12"/>
      <c r="C463" s="60"/>
    </row>
    <row r="464">
      <c r="A464" s="12"/>
      <c r="B464" s="12"/>
      <c r="C464" s="60"/>
    </row>
    <row r="465">
      <c r="A465" s="12"/>
      <c r="B465" s="12"/>
      <c r="C465" s="60"/>
    </row>
    <row r="466">
      <c r="A466" s="12"/>
      <c r="B466" s="12"/>
      <c r="C466" s="60"/>
    </row>
    <row r="467">
      <c r="A467" s="12"/>
      <c r="B467" s="12"/>
      <c r="C467" s="60"/>
    </row>
    <row r="468">
      <c r="A468" s="12"/>
      <c r="B468" s="12"/>
      <c r="C468" s="60"/>
    </row>
    <row r="469">
      <c r="A469" s="12"/>
      <c r="B469" s="12"/>
      <c r="C469" s="60"/>
    </row>
    <row r="470">
      <c r="A470" s="12"/>
      <c r="B470" s="12"/>
      <c r="C470" s="60"/>
    </row>
    <row r="471">
      <c r="A471" s="12"/>
      <c r="B471" s="12"/>
      <c r="C471" s="60"/>
    </row>
    <row r="472">
      <c r="A472" s="12"/>
      <c r="B472" s="12"/>
      <c r="C472" s="60"/>
    </row>
    <row r="473">
      <c r="A473" s="12"/>
      <c r="B473" s="12"/>
      <c r="C473" s="60"/>
    </row>
    <row r="474">
      <c r="A474" s="12"/>
      <c r="B474" s="12"/>
      <c r="C474" s="60"/>
    </row>
    <row r="475">
      <c r="A475" s="12"/>
      <c r="B475" s="12"/>
      <c r="C475" s="60"/>
    </row>
    <row r="476">
      <c r="A476" s="12"/>
      <c r="B476" s="12"/>
      <c r="C476" s="60"/>
    </row>
    <row r="477">
      <c r="A477" s="12"/>
      <c r="B477" s="12"/>
      <c r="C477" s="60"/>
    </row>
    <row r="478">
      <c r="A478" s="12"/>
      <c r="B478" s="12"/>
      <c r="C478" s="60"/>
    </row>
    <row r="479">
      <c r="A479" s="12"/>
      <c r="B479" s="12"/>
      <c r="C479" s="60"/>
    </row>
    <row r="480">
      <c r="A480" s="12"/>
      <c r="B480" s="12"/>
      <c r="C480" s="60"/>
    </row>
    <row r="481">
      <c r="A481" s="12"/>
      <c r="B481" s="12"/>
      <c r="C481" s="60"/>
    </row>
    <row r="482">
      <c r="A482" s="12"/>
      <c r="B482" s="12"/>
      <c r="C482" s="60"/>
    </row>
    <row r="483">
      <c r="A483" s="12"/>
      <c r="B483" s="12"/>
      <c r="C483" s="60"/>
    </row>
    <row r="484">
      <c r="A484" s="12"/>
      <c r="B484" s="12"/>
      <c r="C484" s="60"/>
    </row>
    <row r="485">
      <c r="A485" s="12"/>
      <c r="B485" s="12"/>
      <c r="C485" s="60"/>
    </row>
    <row r="486">
      <c r="A486" s="12"/>
      <c r="B486" s="12"/>
      <c r="C486" s="60"/>
    </row>
    <row r="487">
      <c r="A487" s="12"/>
      <c r="B487" s="12"/>
      <c r="C487" s="60"/>
    </row>
    <row r="488">
      <c r="A488" s="12"/>
      <c r="B488" s="12"/>
      <c r="C488" s="60"/>
    </row>
    <row r="489">
      <c r="A489" s="12"/>
      <c r="B489" s="12"/>
      <c r="C489" s="60"/>
    </row>
    <row r="490">
      <c r="A490" s="12"/>
      <c r="B490" s="12"/>
      <c r="C490" s="60"/>
    </row>
    <row r="491">
      <c r="A491" s="12"/>
      <c r="B491" s="12"/>
      <c r="C491" s="60"/>
    </row>
    <row r="492">
      <c r="A492" s="12"/>
      <c r="B492" s="12"/>
      <c r="C492" s="60"/>
    </row>
    <row r="493">
      <c r="A493" s="12"/>
      <c r="B493" s="12"/>
      <c r="C493" s="60"/>
    </row>
    <row r="494">
      <c r="A494" s="12"/>
      <c r="B494" s="12"/>
      <c r="C494" s="60"/>
    </row>
    <row r="495">
      <c r="A495" s="12"/>
      <c r="B495" s="12"/>
      <c r="C495" s="60"/>
    </row>
    <row r="496">
      <c r="A496" s="12"/>
      <c r="B496" s="12"/>
      <c r="C496" s="60"/>
    </row>
    <row r="497">
      <c r="A497" s="12"/>
      <c r="B497" s="12"/>
      <c r="C497" s="60"/>
    </row>
    <row r="498">
      <c r="A498" s="12"/>
      <c r="B498" s="12"/>
      <c r="C498" s="60"/>
    </row>
    <row r="499">
      <c r="A499" s="12"/>
      <c r="B499" s="12"/>
      <c r="C499" s="60"/>
    </row>
    <row r="500">
      <c r="A500" s="12"/>
      <c r="B500" s="12"/>
      <c r="C500" s="60"/>
    </row>
    <row r="501">
      <c r="A501" s="12"/>
      <c r="B501" s="12"/>
      <c r="C501" s="60"/>
    </row>
    <row r="502">
      <c r="A502" s="12"/>
      <c r="B502" s="12"/>
      <c r="C502" s="60"/>
    </row>
    <row r="503">
      <c r="A503" s="12"/>
      <c r="B503" s="12"/>
      <c r="C503" s="60"/>
    </row>
    <row r="504">
      <c r="A504" s="12"/>
      <c r="B504" s="12"/>
      <c r="C504" s="60"/>
    </row>
    <row r="505">
      <c r="A505" s="12"/>
      <c r="B505" s="12"/>
      <c r="C505" s="60"/>
    </row>
    <row r="506">
      <c r="A506" s="12"/>
      <c r="B506" s="12"/>
      <c r="C506" s="60"/>
    </row>
    <row r="507">
      <c r="A507" s="12"/>
      <c r="B507" s="12"/>
      <c r="C507" s="60"/>
    </row>
    <row r="508">
      <c r="A508" s="12"/>
      <c r="B508" s="12"/>
      <c r="C508" s="60"/>
    </row>
    <row r="509">
      <c r="A509" s="12"/>
      <c r="B509" s="12"/>
      <c r="C509" s="60"/>
    </row>
    <row r="510">
      <c r="A510" s="12"/>
      <c r="B510" s="12"/>
      <c r="C510" s="60"/>
    </row>
    <row r="511">
      <c r="A511" s="12"/>
      <c r="B511" s="12"/>
      <c r="C511" s="60"/>
    </row>
    <row r="512">
      <c r="A512" s="12"/>
      <c r="B512" s="12"/>
      <c r="C512" s="60"/>
    </row>
    <row r="513">
      <c r="A513" s="12"/>
      <c r="B513" s="12"/>
      <c r="C513" s="60"/>
    </row>
    <row r="514">
      <c r="A514" s="12"/>
      <c r="B514" s="12"/>
      <c r="C514" s="60"/>
    </row>
    <row r="515">
      <c r="A515" s="12"/>
      <c r="B515" s="12"/>
      <c r="C515" s="60"/>
    </row>
    <row r="516">
      <c r="A516" s="12"/>
      <c r="B516" s="12"/>
      <c r="C516" s="60"/>
    </row>
    <row r="517">
      <c r="A517" s="12"/>
      <c r="B517" s="12"/>
      <c r="C517" s="60"/>
    </row>
    <row r="518">
      <c r="A518" s="12"/>
      <c r="B518" s="12"/>
      <c r="C518" s="60"/>
    </row>
    <row r="519">
      <c r="A519" s="12"/>
      <c r="B519" s="12"/>
      <c r="C519" s="60"/>
    </row>
    <row r="520">
      <c r="A520" s="12"/>
      <c r="B520" s="12"/>
      <c r="C520" s="60"/>
    </row>
    <row r="521">
      <c r="A521" s="12"/>
      <c r="B521" s="12"/>
      <c r="C521" s="60"/>
    </row>
    <row r="522">
      <c r="A522" s="12"/>
      <c r="B522" s="12"/>
      <c r="C522" s="60"/>
    </row>
    <row r="523">
      <c r="A523" s="12"/>
      <c r="B523" s="12"/>
      <c r="C523" s="60"/>
    </row>
    <row r="524">
      <c r="A524" s="12"/>
      <c r="B524" s="12"/>
      <c r="C524" s="60"/>
    </row>
    <row r="525">
      <c r="A525" s="12"/>
      <c r="B525" s="12"/>
      <c r="C525" s="60"/>
    </row>
    <row r="526">
      <c r="A526" s="12"/>
      <c r="B526" s="12"/>
      <c r="C526" s="60"/>
    </row>
    <row r="527">
      <c r="A527" s="12"/>
      <c r="B527" s="12"/>
      <c r="C527" s="60"/>
    </row>
    <row r="528">
      <c r="A528" s="12"/>
      <c r="B528" s="12"/>
      <c r="C528" s="60"/>
    </row>
    <row r="529">
      <c r="A529" s="12"/>
      <c r="B529" s="12"/>
      <c r="C529" s="60"/>
    </row>
    <row r="530">
      <c r="A530" s="12"/>
      <c r="B530" s="12"/>
      <c r="C530" s="60"/>
    </row>
    <row r="531">
      <c r="A531" s="12"/>
      <c r="B531" s="12"/>
      <c r="C531" s="60"/>
    </row>
    <row r="532">
      <c r="A532" s="12"/>
      <c r="B532" s="12"/>
      <c r="C532" s="60"/>
    </row>
    <row r="533">
      <c r="A533" s="12"/>
      <c r="B533" s="12"/>
      <c r="C533" s="60"/>
    </row>
    <row r="534">
      <c r="A534" s="12"/>
      <c r="B534" s="12"/>
      <c r="C534" s="60"/>
    </row>
    <row r="535">
      <c r="A535" s="12"/>
      <c r="B535" s="12"/>
      <c r="C535" s="60"/>
    </row>
    <row r="536">
      <c r="A536" s="12"/>
      <c r="B536" s="12"/>
      <c r="C536" s="60"/>
    </row>
    <row r="537">
      <c r="A537" s="12"/>
      <c r="B537" s="12"/>
      <c r="C537" s="60"/>
    </row>
    <row r="538">
      <c r="A538" s="12"/>
      <c r="B538" s="12"/>
      <c r="C538" s="60"/>
    </row>
    <row r="539">
      <c r="A539" s="12"/>
      <c r="B539" s="12"/>
      <c r="C539" s="60"/>
    </row>
    <row r="540">
      <c r="A540" s="12"/>
      <c r="B540" s="12"/>
      <c r="C540" s="60"/>
    </row>
    <row r="541">
      <c r="A541" s="12"/>
      <c r="B541" s="12"/>
      <c r="C541" s="60"/>
    </row>
    <row r="542">
      <c r="A542" s="12"/>
      <c r="B542" s="12"/>
      <c r="C542" s="60"/>
    </row>
    <row r="543">
      <c r="A543" s="12"/>
      <c r="B543" s="12"/>
      <c r="C543" s="60"/>
    </row>
    <row r="544">
      <c r="A544" s="12"/>
      <c r="B544" s="12"/>
      <c r="C544" s="60"/>
    </row>
    <row r="545">
      <c r="A545" s="12"/>
      <c r="B545" s="12"/>
      <c r="C545" s="60"/>
    </row>
    <row r="546">
      <c r="A546" s="12"/>
      <c r="B546" s="12"/>
      <c r="C546" s="60"/>
    </row>
    <row r="547">
      <c r="A547" s="12"/>
      <c r="B547" s="12"/>
      <c r="C547" s="60"/>
    </row>
    <row r="548">
      <c r="A548" s="12"/>
      <c r="B548" s="12"/>
      <c r="C548" s="60"/>
    </row>
    <row r="549">
      <c r="A549" s="12"/>
      <c r="B549" s="12"/>
      <c r="C549" s="60"/>
    </row>
    <row r="550">
      <c r="A550" s="12"/>
      <c r="B550" s="12"/>
      <c r="C550" s="60"/>
    </row>
    <row r="551">
      <c r="A551" s="12"/>
      <c r="B551" s="12"/>
      <c r="C551" s="60"/>
    </row>
    <row r="552">
      <c r="A552" s="12"/>
      <c r="B552" s="12"/>
      <c r="C552" s="60"/>
    </row>
    <row r="553">
      <c r="A553" s="12"/>
      <c r="B553" s="12"/>
      <c r="C553" s="60"/>
    </row>
    <row r="554">
      <c r="A554" s="12"/>
      <c r="B554" s="12"/>
      <c r="C554" s="60"/>
    </row>
    <row r="555">
      <c r="A555" s="12"/>
      <c r="B555" s="12"/>
      <c r="C555" s="60"/>
    </row>
    <row r="556">
      <c r="A556" s="12"/>
      <c r="B556" s="12"/>
      <c r="C556" s="60"/>
    </row>
    <row r="557">
      <c r="A557" s="12"/>
      <c r="B557" s="12"/>
      <c r="C557" s="60"/>
    </row>
    <row r="558">
      <c r="A558" s="12"/>
      <c r="B558" s="12"/>
      <c r="C558" s="60"/>
    </row>
    <row r="559">
      <c r="A559" s="12"/>
      <c r="B559" s="12"/>
      <c r="C559" s="60"/>
    </row>
    <row r="560">
      <c r="A560" s="12"/>
      <c r="B560" s="12"/>
      <c r="C560" s="60"/>
    </row>
    <row r="561">
      <c r="A561" s="12"/>
      <c r="B561" s="12"/>
      <c r="C561" s="60"/>
    </row>
    <row r="562">
      <c r="A562" s="12"/>
      <c r="B562" s="12"/>
      <c r="C562" s="60"/>
    </row>
    <row r="563">
      <c r="A563" s="12"/>
      <c r="B563" s="12"/>
      <c r="C563" s="60"/>
    </row>
    <row r="564">
      <c r="A564" s="12"/>
      <c r="B564" s="12"/>
      <c r="C564" s="60"/>
    </row>
    <row r="565">
      <c r="A565" s="12"/>
      <c r="B565" s="12"/>
      <c r="C565" s="60"/>
    </row>
    <row r="566">
      <c r="A566" s="12"/>
      <c r="B566" s="12"/>
      <c r="C566" s="60"/>
    </row>
    <row r="567">
      <c r="A567" s="12"/>
      <c r="B567" s="12"/>
      <c r="C567" s="60"/>
    </row>
    <row r="568">
      <c r="A568" s="12"/>
      <c r="B568" s="12"/>
      <c r="C568" s="60"/>
    </row>
    <row r="569">
      <c r="A569" s="12"/>
      <c r="B569" s="12"/>
      <c r="C569" s="60"/>
    </row>
    <row r="570">
      <c r="A570" s="12"/>
      <c r="B570" s="12"/>
      <c r="C570" s="60"/>
    </row>
    <row r="571">
      <c r="A571" s="12"/>
      <c r="B571" s="12"/>
      <c r="C571" s="60"/>
    </row>
    <row r="572">
      <c r="A572" s="12"/>
      <c r="B572" s="12"/>
      <c r="C572" s="60"/>
    </row>
    <row r="573">
      <c r="A573" s="12"/>
      <c r="B573" s="12"/>
      <c r="C573" s="60"/>
    </row>
    <row r="574">
      <c r="A574" s="12"/>
      <c r="B574" s="12"/>
      <c r="C574" s="60"/>
    </row>
    <row r="575">
      <c r="A575" s="12"/>
      <c r="B575" s="12"/>
      <c r="C575" s="60"/>
    </row>
    <row r="576">
      <c r="A576" s="12"/>
      <c r="B576" s="12"/>
      <c r="C576" s="60"/>
    </row>
    <row r="577">
      <c r="A577" s="12"/>
      <c r="B577" s="12"/>
      <c r="C577" s="60"/>
    </row>
    <row r="578">
      <c r="A578" s="12"/>
      <c r="B578" s="12"/>
      <c r="C578" s="60"/>
    </row>
    <row r="579">
      <c r="A579" s="12"/>
      <c r="B579" s="12"/>
      <c r="C579" s="60"/>
    </row>
    <row r="580">
      <c r="A580" s="12"/>
      <c r="B580" s="12"/>
      <c r="C580" s="60"/>
    </row>
    <row r="581">
      <c r="A581" s="12"/>
      <c r="B581" s="12"/>
      <c r="C581" s="60"/>
    </row>
    <row r="582">
      <c r="A582" s="12"/>
      <c r="B582" s="12"/>
      <c r="C582" s="60"/>
    </row>
    <row r="583">
      <c r="A583" s="12"/>
      <c r="B583" s="12"/>
      <c r="C583" s="60"/>
    </row>
    <row r="584">
      <c r="A584" s="12"/>
      <c r="B584" s="12"/>
      <c r="C584" s="60"/>
    </row>
    <row r="585">
      <c r="A585" s="12"/>
      <c r="B585" s="12"/>
      <c r="C585" s="60"/>
    </row>
    <row r="586">
      <c r="A586" s="12"/>
      <c r="B586" s="12"/>
      <c r="C586" s="60"/>
    </row>
    <row r="587">
      <c r="A587" s="12"/>
      <c r="B587" s="12"/>
      <c r="C587" s="60"/>
    </row>
    <row r="588">
      <c r="A588" s="12"/>
      <c r="B588" s="12"/>
      <c r="C588" s="60"/>
    </row>
    <row r="589">
      <c r="A589" s="12"/>
      <c r="B589" s="12"/>
      <c r="C589" s="60"/>
    </row>
    <row r="590">
      <c r="A590" s="12"/>
      <c r="B590" s="12"/>
      <c r="C590" s="60"/>
    </row>
    <row r="591">
      <c r="A591" s="12"/>
      <c r="B591" s="12"/>
      <c r="C591" s="60"/>
    </row>
    <row r="592">
      <c r="A592" s="12"/>
      <c r="B592" s="12"/>
      <c r="C592" s="60"/>
    </row>
    <row r="593">
      <c r="A593" s="12"/>
      <c r="B593" s="12"/>
      <c r="C593" s="60"/>
    </row>
    <row r="594">
      <c r="A594" s="12"/>
      <c r="B594" s="12"/>
      <c r="C594" s="60"/>
    </row>
    <row r="595">
      <c r="A595" s="12"/>
      <c r="B595" s="12"/>
      <c r="C595" s="60"/>
    </row>
    <row r="596">
      <c r="A596" s="12"/>
      <c r="B596" s="12"/>
      <c r="C596" s="60"/>
    </row>
    <row r="597">
      <c r="A597" s="12"/>
      <c r="B597" s="12"/>
      <c r="C597" s="60"/>
    </row>
    <row r="598">
      <c r="A598" s="12"/>
      <c r="B598" s="12"/>
      <c r="C598" s="60"/>
    </row>
    <row r="599">
      <c r="A599" s="12"/>
      <c r="B599" s="12"/>
      <c r="C599" s="60"/>
    </row>
    <row r="600">
      <c r="A600" s="12"/>
      <c r="B600" s="12"/>
      <c r="C600" s="60"/>
    </row>
    <row r="601">
      <c r="A601" s="12"/>
      <c r="B601" s="12"/>
      <c r="C601" s="60"/>
    </row>
    <row r="602">
      <c r="A602" s="12"/>
      <c r="B602" s="12"/>
      <c r="C602" s="60"/>
    </row>
    <row r="603">
      <c r="A603" s="12"/>
      <c r="B603" s="12"/>
      <c r="C603" s="60"/>
    </row>
    <row r="604">
      <c r="A604" s="12"/>
      <c r="B604" s="12"/>
      <c r="C604" s="60"/>
    </row>
    <row r="605">
      <c r="A605" s="12"/>
      <c r="B605" s="12"/>
      <c r="C605" s="60"/>
    </row>
    <row r="606">
      <c r="A606" s="12"/>
      <c r="B606" s="12"/>
      <c r="C606" s="60"/>
    </row>
    <row r="607">
      <c r="A607" s="12"/>
      <c r="B607" s="12"/>
      <c r="C607" s="60"/>
    </row>
    <row r="608">
      <c r="A608" s="12"/>
      <c r="B608" s="12"/>
      <c r="C608" s="60"/>
    </row>
    <row r="609">
      <c r="A609" s="12"/>
      <c r="B609" s="12"/>
      <c r="C609" s="60"/>
    </row>
    <row r="610">
      <c r="A610" s="12"/>
      <c r="B610" s="12"/>
      <c r="C610" s="60"/>
    </row>
    <row r="611">
      <c r="A611" s="12"/>
      <c r="B611" s="12"/>
      <c r="C611" s="60"/>
    </row>
    <row r="612">
      <c r="A612" s="12"/>
      <c r="B612" s="12"/>
      <c r="C612" s="60"/>
    </row>
    <row r="613">
      <c r="A613" s="12"/>
      <c r="B613" s="12"/>
      <c r="C613" s="60"/>
    </row>
    <row r="614">
      <c r="A614" s="12"/>
      <c r="B614" s="12"/>
      <c r="C614" s="60"/>
    </row>
    <row r="615">
      <c r="A615" s="12"/>
      <c r="B615" s="12"/>
      <c r="C615" s="60"/>
    </row>
    <row r="616">
      <c r="A616" s="12"/>
      <c r="B616" s="12"/>
      <c r="C616" s="60"/>
    </row>
    <row r="617">
      <c r="A617" s="12"/>
      <c r="B617" s="12"/>
      <c r="C617" s="60"/>
    </row>
    <row r="618">
      <c r="A618" s="12"/>
      <c r="B618" s="12"/>
      <c r="C618" s="60"/>
    </row>
    <row r="619">
      <c r="A619" s="12"/>
      <c r="B619" s="12"/>
      <c r="C619" s="60"/>
    </row>
    <row r="620">
      <c r="A620" s="12"/>
      <c r="B620" s="12"/>
      <c r="C620" s="60"/>
    </row>
    <row r="621">
      <c r="A621" s="12"/>
      <c r="B621" s="12"/>
      <c r="C621" s="60"/>
    </row>
    <row r="622">
      <c r="A622" s="12"/>
      <c r="B622" s="12"/>
      <c r="C622" s="60"/>
    </row>
    <row r="623">
      <c r="A623" s="12"/>
      <c r="B623" s="12"/>
      <c r="C623" s="60"/>
    </row>
    <row r="624">
      <c r="A624" s="12"/>
      <c r="B624" s="12"/>
      <c r="C624" s="60"/>
    </row>
    <row r="625">
      <c r="A625" s="12"/>
      <c r="B625" s="12"/>
      <c r="C625" s="60"/>
    </row>
    <row r="626">
      <c r="A626" s="12"/>
      <c r="B626" s="12"/>
      <c r="C626" s="60"/>
    </row>
    <row r="627">
      <c r="A627" s="12"/>
      <c r="B627" s="12"/>
      <c r="C627" s="60"/>
    </row>
    <row r="628">
      <c r="A628" s="12"/>
      <c r="B628" s="12"/>
      <c r="C628" s="60"/>
    </row>
    <row r="629">
      <c r="A629" s="12"/>
      <c r="B629" s="12"/>
      <c r="C629" s="60"/>
    </row>
    <row r="630">
      <c r="A630" s="12"/>
      <c r="B630" s="12"/>
      <c r="C630" s="60"/>
    </row>
    <row r="631">
      <c r="A631" s="12"/>
      <c r="B631" s="12"/>
      <c r="C631" s="60"/>
    </row>
    <row r="632">
      <c r="A632" s="12"/>
      <c r="B632" s="12"/>
      <c r="C632" s="60"/>
    </row>
    <row r="633">
      <c r="A633" s="12"/>
      <c r="B633" s="12"/>
      <c r="C633" s="60"/>
    </row>
    <row r="634">
      <c r="A634" s="12"/>
      <c r="B634" s="12"/>
      <c r="C634" s="60"/>
    </row>
    <row r="635">
      <c r="A635" s="12"/>
      <c r="B635" s="12"/>
      <c r="C635" s="60"/>
    </row>
    <row r="636">
      <c r="A636" s="12"/>
      <c r="B636" s="12"/>
      <c r="C636" s="60"/>
    </row>
    <row r="637">
      <c r="A637" s="12"/>
      <c r="B637" s="12"/>
      <c r="C637" s="60"/>
    </row>
    <row r="638">
      <c r="A638" s="12"/>
      <c r="B638" s="12"/>
      <c r="C638" s="60"/>
    </row>
    <row r="639">
      <c r="A639" s="12"/>
      <c r="B639" s="12"/>
      <c r="C639" s="60"/>
    </row>
    <row r="640">
      <c r="A640" s="12"/>
      <c r="B640" s="12"/>
      <c r="C640" s="60"/>
    </row>
    <row r="641">
      <c r="A641" s="12"/>
      <c r="B641" s="12"/>
      <c r="C641" s="60"/>
    </row>
    <row r="642">
      <c r="A642" s="12"/>
      <c r="B642" s="12"/>
      <c r="C642" s="60"/>
    </row>
    <row r="643">
      <c r="A643" s="12"/>
      <c r="B643" s="12"/>
      <c r="C643" s="60"/>
    </row>
    <row r="644">
      <c r="A644" s="12"/>
      <c r="B644" s="12"/>
      <c r="C644" s="60"/>
    </row>
    <row r="645">
      <c r="A645" s="12"/>
      <c r="B645" s="12"/>
      <c r="C645" s="60"/>
    </row>
    <row r="646">
      <c r="A646" s="12"/>
      <c r="B646" s="12"/>
      <c r="C646" s="60"/>
    </row>
    <row r="647">
      <c r="A647" s="12"/>
      <c r="B647" s="12"/>
      <c r="C647" s="60"/>
    </row>
    <row r="648">
      <c r="A648" s="12"/>
      <c r="B648" s="12"/>
      <c r="C648" s="60"/>
    </row>
    <row r="649">
      <c r="A649" s="12"/>
      <c r="B649" s="12"/>
      <c r="C649" s="60"/>
    </row>
    <row r="650">
      <c r="A650" s="12"/>
      <c r="B650" s="12"/>
      <c r="C650" s="60"/>
    </row>
    <row r="651">
      <c r="A651" s="12"/>
      <c r="B651" s="12"/>
      <c r="C651" s="60"/>
    </row>
    <row r="652">
      <c r="A652" s="12"/>
      <c r="B652" s="12"/>
      <c r="C652" s="60"/>
    </row>
    <row r="653">
      <c r="A653" s="12"/>
      <c r="B653" s="12"/>
      <c r="C653" s="60"/>
    </row>
    <row r="654">
      <c r="A654" s="12"/>
      <c r="B654" s="12"/>
      <c r="C654" s="60"/>
    </row>
    <row r="655">
      <c r="A655" s="12"/>
      <c r="B655" s="12"/>
      <c r="C655" s="60"/>
    </row>
    <row r="656">
      <c r="A656" s="12"/>
      <c r="B656" s="12"/>
      <c r="C656" s="60"/>
    </row>
    <row r="657">
      <c r="A657" s="12"/>
      <c r="B657" s="12"/>
      <c r="C657" s="60"/>
    </row>
    <row r="658">
      <c r="A658" s="12"/>
      <c r="B658" s="12"/>
      <c r="C658" s="60"/>
    </row>
    <row r="659">
      <c r="A659" s="12"/>
      <c r="B659" s="12"/>
      <c r="C659" s="60"/>
    </row>
    <row r="660">
      <c r="A660" s="12"/>
      <c r="B660" s="12"/>
      <c r="C660" s="60"/>
    </row>
    <row r="661">
      <c r="A661" s="12"/>
      <c r="B661" s="12"/>
      <c r="C661" s="60"/>
    </row>
    <row r="662">
      <c r="A662" s="12"/>
      <c r="B662" s="12"/>
      <c r="C662" s="60"/>
    </row>
    <row r="663">
      <c r="A663" s="12"/>
      <c r="B663" s="12"/>
      <c r="C663" s="60"/>
    </row>
    <row r="664">
      <c r="A664" s="12"/>
      <c r="B664" s="12"/>
      <c r="C664" s="60"/>
    </row>
    <row r="665">
      <c r="A665" s="12"/>
      <c r="B665" s="12"/>
      <c r="C665" s="60"/>
    </row>
    <row r="666">
      <c r="A666" s="12"/>
      <c r="B666" s="12"/>
      <c r="C666" s="60"/>
    </row>
    <row r="667">
      <c r="A667" s="12"/>
      <c r="B667" s="12"/>
      <c r="C667" s="60"/>
    </row>
    <row r="668">
      <c r="A668" s="12"/>
      <c r="B668" s="12"/>
      <c r="C668" s="60"/>
    </row>
    <row r="669">
      <c r="A669" s="12"/>
      <c r="B669" s="12"/>
      <c r="C669" s="60"/>
    </row>
    <row r="670">
      <c r="A670" s="12"/>
      <c r="B670" s="12"/>
      <c r="C670" s="60"/>
    </row>
    <row r="671">
      <c r="A671" s="12"/>
      <c r="B671" s="12"/>
      <c r="C671" s="60"/>
    </row>
    <row r="672">
      <c r="A672" s="12"/>
      <c r="B672" s="12"/>
      <c r="C672" s="60"/>
    </row>
    <row r="673">
      <c r="A673" s="12"/>
      <c r="B673" s="12"/>
      <c r="C673" s="60"/>
    </row>
    <row r="674">
      <c r="A674" s="12"/>
      <c r="B674" s="12"/>
      <c r="C674" s="60"/>
    </row>
    <row r="675">
      <c r="A675" s="12"/>
      <c r="B675" s="12"/>
      <c r="C675" s="60"/>
    </row>
    <row r="676">
      <c r="A676" s="12"/>
      <c r="B676" s="12"/>
      <c r="C676" s="60"/>
    </row>
    <row r="677">
      <c r="A677" s="12"/>
      <c r="B677" s="12"/>
      <c r="C677" s="60"/>
    </row>
    <row r="678">
      <c r="A678" s="12"/>
      <c r="B678" s="12"/>
      <c r="C678" s="60"/>
    </row>
    <row r="679">
      <c r="A679" s="12"/>
      <c r="B679" s="12"/>
      <c r="C679" s="60"/>
    </row>
    <row r="680">
      <c r="A680" s="12"/>
      <c r="B680" s="12"/>
      <c r="C680" s="60"/>
    </row>
    <row r="681">
      <c r="A681" s="12"/>
      <c r="B681" s="12"/>
      <c r="C681" s="60"/>
    </row>
    <row r="682">
      <c r="A682" s="12"/>
      <c r="B682" s="12"/>
      <c r="C682" s="60"/>
    </row>
    <row r="683">
      <c r="A683" s="12"/>
      <c r="B683" s="12"/>
      <c r="C683" s="60"/>
    </row>
    <row r="684">
      <c r="A684" s="12"/>
      <c r="B684" s="12"/>
      <c r="C684" s="60"/>
    </row>
    <row r="685">
      <c r="A685" s="12"/>
      <c r="B685" s="12"/>
      <c r="C685" s="60"/>
    </row>
    <row r="686">
      <c r="A686" s="12"/>
      <c r="B686" s="12"/>
      <c r="C686" s="60"/>
    </row>
    <row r="687">
      <c r="A687" s="12"/>
      <c r="B687" s="12"/>
      <c r="C687" s="60"/>
    </row>
    <row r="688">
      <c r="A688" s="12"/>
      <c r="B688" s="12"/>
      <c r="C688" s="60"/>
    </row>
    <row r="689">
      <c r="A689" s="12"/>
      <c r="B689" s="12"/>
      <c r="C689" s="60"/>
    </row>
    <row r="690">
      <c r="A690" s="12"/>
      <c r="B690" s="12"/>
      <c r="C690" s="60"/>
    </row>
    <row r="691">
      <c r="A691" s="12"/>
      <c r="B691" s="12"/>
      <c r="C691" s="60"/>
    </row>
    <row r="692">
      <c r="A692" s="12"/>
      <c r="B692" s="12"/>
      <c r="C692" s="60"/>
    </row>
    <row r="693">
      <c r="A693" s="12"/>
      <c r="B693" s="12"/>
      <c r="C693" s="60"/>
    </row>
    <row r="694">
      <c r="A694" s="12"/>
      <c r="B694" s="12"/>
      <c r="C694" s="60"/>
    </row>
    <row r="695">
      <c r="A695" s="12"/>
      <c r="B695" s="12"/>
      <c r="C695" s="60"/>
    </row>
    <row r="696">
      <c r="A696" s="12"/>
      <c r="B696" s="12"/>
      <c r="C696" s="60"/>
    </row>
    <row r="697">
      <c r="A697" s="12"/>
      <c r="B697" s="12"/>
      <c r="C697" s="60"/>
    </row>
    <row r="698">
      <c r="A698" s="12"/>
      <c r="B698" s="12"/>
      <c r="C698" s="60"/>
    </row>
    <row r="699">
      <c r="A699" s="12"/>
      <c r="B699" s="12"/>
      <c r="C699" s="60"/>
    </row>
    <row r="700">
      <c r="A700" s="12"/>
      <c r="B700" s="12"/>
      <c r="C700" s="60"/>
    </row>
    <row r="701">
      <c r="A701" s="12"/>
      <c r="B701" s="12"/>
      <c r="C701" s="60"/>
    </row>
    <row r="702">
      <c r="A702" s="12"/>
      <c r="B702" s="12"/>
      <c r="C702" s="60"/>
    </row>
    <row r="703">
      <c r="A703" s="12"/>
      <c r="B703" s="12"/>
      <c r="C703" s="60"/>
    </row>
    <row r="704">
      <c r="A704" s="12"/>
      <c r="B704" s="12"/>
      <c r="C704" s="60"/>
    </row>
    <row r="705">
      <c r="A705" s="12"/>
      <c r="B705" s="12"/>
      <c r="C705" s="60"/>
    </row>
    <row r="706">
      <c r="A706" s="12"/>
      <c r="B706" s="12"/>
      <c r="C706" s="60"/>
    </row>
    <row r="707">
      <c r="A707" s="12"/>
      <c r="B707" s="12"/>
      <c r="C707" s="60"/>
    </row>
    <row r="708">
      <c r="A708" s="12"/>
      <c r="B708" s="12"/>
      <c r="C708" s="60"/>
    </row>
    <row r="709">
      <c r="A709" s="12"/>
      <c r="B709" s="12"/>
      <c r="C709" s="60"/>
    </row>
    <row r="710">
      <c r="A710" s="12"/>
      <c r="B710" s="12"/>
      <c r="C710" s="60"/>
    </row>
    <row r="711">
      <c r="A711" s="12"/>
      <c r="B711" s="12"/>
      <c r="C711" s="60"/>
    </row>
    <row r="712">
      <c r="A712" s="12"/>
      <c r="B712" s="12"/>
      <c r="C712" s="60"/>
    </row>
    <row r="713">
      <c r="A713" s="12"/>
      <c r="B713" s="12"/>
      <c r="C713" s="60"/>
    </row>
    <row r="714">
      <c r="A714" s="12"/>
      <c r="B714" s="12"/>
      <c r="C714" s="60"/>
    </row>
    <row r="715">
      <c r="A715" s="12"/>
      <c r="B715" s="12"/>
      <c r="C715" s="60"/>
    </row>
    <row r="716">
      <c r="A716" s="12"/>
      <c r="B716" s="12"/>
      <c r="C716" s="60"/>
    </row>
    <row r="717">
      <c r="A717" s="12"/>
      <c r="B717" s="12"/>
      <c r="C717" s="60"/>
    </row>
    <row r="718">
      <c r="A718" s="12"/>
      <c r="B718" s="12"/>
      <c r="C718" s="60"/>
    </row>
    <row r="719">
      <c r="A719" s="12"/>
      <c r="B719" s="12"/>
      <c r="C719" s="60"/>
    </row>
    <row r="720">
      <c r="A720" s="12"/>
      <c r="B720" s="12"/>
      <c r="C720" s="60"/>
    </row>
    <row r="721">
      <c r="A721" s="12"/>
      <c r="B721" s="12"/>
      <c r="C721" s="60"/>
    </row>
    <row r="722">
      <c r="A722" s="12"/>
      <c r="B722" s="12"/>
      <c r="C722" s="60"/>
    </row>
    <row r="723">
      <c r="A723" s="12"/>
      <c r="B723" s="12"/>
      <c r="C723" s="60"/>
    </row>
    <row r="724">
      <c r="A724" s="12"/>
      <c r="B724" s="12"/>
      <c r="C724" s="60"/>
    </row>
    <row r="725">
      <c r="A725" s="12"/>
      <c r="B725" s="12"/>
      <c r="C725" s="60"/>
    </row>
    <row r="726">
      <c r="A726" s="12"/>
      <c r="B726" s="12"/>
      <c r="C726" s="60"/>
    </row>
    <row r="727">
      <c r="A727" s="12"/>
      <c r="B727" s="12"/>
      <c r="C727" s="60"/>
    </row>
    <row r="728">
      <c r="A728" s="12"/>
      <c r="B728" s="12"/>
      <c r="C728" s="60"/>
    </row>
    <row r="729">
      <c r="A729" s="12"/>
      <c r="B729" s="12"/>
      <c r="C729" s="60"/>
    </row>
    <row r="730">
      <c r="A730" s="12"/>
      <c r="B730" s="12"/>
      <c r="C730" s="60"/>
    </row>
    <row r="731">
      <c r="A731" s="12"/>
      <c r="B731" s="12"/>
      <c r="C731" s="60"/>
    </row>
    <row r="732">
      <c r="A732" s="12"/>
      <c r="B732" s="12"/>
      <c r="C732" s="60"/>
    </row>
    <row r="733">
      <c r="A733" s="12"/>
      <c r="B733" s="12"/>
      <c r="C733" s="60"/>
    </row>
    <row r="734">
      <c r="A734" s="12"/>
      <c r="B734" s="12"/>
      <c r="C734" s="60"/>
    </row>
    <row r="735">
      <c r="A735" s="12"/>
      <c r="B735" s="12"/>
      <c r="C735" s="60"/>
    </row>
    <row r="736">
      <c r="A736" s="12"/>
      <c r="B736" s="12"/>
      <c r="C736" s="60"/>
    </row>
    <row r="737">
      <c r="A737" s="12"/>
      <c r="B737" s="12"/>
      <c r="C737" s="60"/>
    </row>
    <row r="738">
      <c r="A738" s="12"/>
      <c r="B738" s="12"/>
      <c r="C738" s="60"/>
    </row>
    <row r="739">
      <c r="A739" s="12"/>
      <c r="B739" s="12"/>
      <c r="C739" s="60"/>
    </row>
    <row r="740">
      <c r="A740" s="12"/>
      <c r="B740" s="12"/>
      <c r="C740" s="60"/>
    </row>
    <row r="741">
      <c r="A741" s="12"/>
      <c r="B741" s="12"/>
      <c r="C741" s="60"/>
    </row>
    <row r="742">
      <c r="A742" s="12"/>
      <c r="B742" s="12"/>
      <c r="C742" s="60"/>
    </row>
    <row r="743">
      <c r="A743" s="12"/>
      <c r="B743" s="12"/>
      <c r="C743" s="60"/>
    </row>
    <row r="744">
      <c r="A744" s="12"/>
      <c r="B744" s="12"/>
      <c r="C744" s="60"/>
    </row>
    <row r="745">
      <c r="A745" s="12"/>
      <c r="B745" s="12"/>
      <c r="C745" s="60"/>
    </row>
    <row r="746">
      <c r="A746" s="12"/>
      <c r="B746" s="12"/>
      <c r="C746" s="60"/>
    </row>
    <row r="747">
      <c r="A747" s="12"/>
      <c r="B747" s="12"/>
      <c r="C747" s="60"/>
    </row>
    <row r="748">
      <c r="A748" s="12"/>
      <c r="B748" s="12"/>
      <c r="C748" s="60"/>
    </row>
    <row r="749">
      <c r="A749" s="12"/>
      <c r="B749" s="12"/>
      <c r="C749" s="60"/>
    </row>
    <row r="750">
      <c r="A750" s="12"/>
      <c r="B750" s="12"/>
      <c r="C750" s="60"/>
    </row>
    <row r="751">
      <c r="A751" s="12"/>
      <c r="B751" s="12"/>
      <c r="C751" s="60"/>
    </row>
    <row r="752">
      <c r="A752" s="12"/>
      <c r="B752" s="12"/>
      <c r="C752" s="60"/>
    </row>
    <row r="753">
      <c r="A753" s="12"/>
      <c r="B753" s="12"/>
      <c r="C753" s="60"/>
    </row>
    <row r="754">
      <c r="A754" s="12"/>
      <c r="B754" s="12"/>
      <c r="C754" s="60"/>
    </row>
    <row r="755">
      <c r="A755" s="12"/>
      <c r="B755" s="12"/>
      <c r="C755" s="60"/>
    </row>
    <row r="756">
      <c r="A756" s="12"/>
      <c r="B756" s="12"/>
      <c r="C756" s="60"/>
    </row>
    <row r="757">
      <c r="A757" s="12"/>
      <c r="B757" s="12"/>
      <c r="C757" s="60"/>
    </row>
    <row r="758">
      <c r="A758" s="12"/>
      <c r="B758" s="12"/>
      <c r="C758" s="60"/>
    </row>
    <row r="759">
      <c r="A759" s="12"/>
      <c r="B759" s="12"/>
      <c r="C759" s="60"/>
    </row>
    <row r="760">
      <c r="A760" s="12"/>
      <c r="B760" s="12"/>
      <c r="C760" s="60"/>
    </row>
    <row r="761">
      <c r="A761" s="12"/>
      <c r="B761" s="12"/>
      <c r="C761" s="60"/>
    </row>
    <row r="762">
      <c r="A762" s="12"/>
      <c r="B762" s="12"/>
      <c r="C762" s="60"/>
    </row>
    <row r="763">
      <c r="A763" s="12"/>
      <c r="B763" s="12"/>
      <c r="C763" s="60"/>
    </row>
    <row r="764">
      <c r="A764" s="12"/>
      <c r="B764" s="12"/>
      <c r="C764" s="60"/>
    </row>
    <row r="765">
      <c r="A765" s="12"/>
      <c r="B765" s="12"/>
      <c r="C765" s="60"/>
    </row>
    <row r="766">
      <c r="A766" s="12"/>
      <c r="B766" s="12"/>
      <c r="C766" s="60"/>
    </row>
    <row r="767">
      <c r="A767" s="12"/>
      <c r="B767" s="12"/>
      <c r="C767" s="60"/>
    </row>
    <row r="768">
      <c r="A768" s="12"/>
      <c r="B768" s="12"/>
      <c r="C768" s="60"/>
    </row>
    <row r="769">
      <c r="A769" s="12"/>
      <c r="B769" s="12"/>
      <c r="C769" s="60"/>
    </row>
    <row r="770">
      <c r="A770" s="12"/>
      <c r="B770" s="12"/>
      <c r="C770" s="60"/>
    </row>
    <row r="771">
      <c r="A771" s="12"/>
      <c r="B771" s="12"/>
      <c r="C771" s="60"/>
    </row>
    <row r="772">
      <c r="A772" s="12"/>
      <c r="B772" s="12"/>
      <c r="C772" s="60"/>
    </row>
    <row r="773">
      <c r="A773" s="12"/>
      <c r="B773" s="12"/>
      <c r="C773" s="60"/>
    </row>
    <row r="774">
      <c r="A774" s="12"/>
      <c r="B774" s="12"/>
      <c r="C774" s="60"/>
    </row>
    <row r="775">
      <c r="A775" s="12"/>
      <c r="B775" s="12"/>
      <c r="C775" s="60"/>
    </row>
    <row r="776">
      <c r="A776" s="12"/>
      <c r="B776" s="12"/>
      <c r="C776" s="60"/>
    </row>
    <row r="777">
      <c r="A777" s="12"/>
      <c r="B777" s="12"/>
      <c r="C777" s="60"/>
    </row>
    <row r="778">
      <c r="A778" s="12"/>
      <c r="B778" s="12"/>
      <c r="C778" s="60"/>
    </row>
    <row r="779">
      <c r="A779" s="12"/>
      <c r="B779" s="12"/>
      <c r="C779" s="60"/>
    </row>
    <row r="780">
      <c r="A780" s="12"/>
      <c r="B780" s="12"/>
      <c r="C780" s="60"/>
    </row>
    <row r="781">
      <c r="A781" s="12"/>
      <c r="B781" s="12"/>
      <c r="C781" s="60"/>
    </row>
    <row r="782">
      <c r="A782" s="12"/>
      <c r="B782" s="12"/>
      <c r="C782" s="60"/>
    </row>
    <row r="783">
      <c r="A783" s="12"/>
      <c r="B783" s="12"/>
      <c r="C783" s="60"/>
    </row>
    <row r="784">
      <c r="A784" s="12"/>
      <c r="B784" s="12"/>
      <c r="C784" s="60"/>
    </row>
    <row r="785">
      <c r="A785" s="12"/>
      <c r="B785" s="12"/>
      <c r="C785" s="60"/>
    </row>
    <row r="786">
      <c r="A786" s="12"/>
      <c r="B786" s="12"/>
      <c r="C786" s="60"/>
    </row>
    <row r="787">
      <c r="A787" s="12"/>
      <c r="B787" s="12"/>
      <c r="C787" s="60"/>
    </row>
    <row r="788">
      <c r="A788" s="12"/>
      <c r="B788" s="12"/>
      <c r="C788" s="60"/>
    </row>
    <row r="789">
      <c r="A789" s="12"/>
      <c r="B789" s="12"/>
      <c r="C789" s="60"/>
    </row>
    <row r="790">
      <c r="A790" s="12"/>
      <c r="B790" s="12"/>
      <c r="C790" s="60"/>
    </row>
    <row r="791">
      <c r="A791" s="12"/>
      <c r="B791" s="12"/>
      <c r="C791" s="60"/>
    </row>
    <row r="792">
      <c r="A792" s="12"/>
      <c r="B792" s="12"/>
      <c r="C792" s="60"/>
    </row>
    <row r="793">
      <c r="A793" s="12"/>
      <c r="B793" s="12"/>
      <c r="C793" s="60"/>
    </row>
    <row r="794">
      <c r="A794" s="12"/>
      <c r="B794" s="12"/>
      <c r="C794" s="60"/>
    </row>
    <row r="795">
      <c r="A795" s="12"/>
      <c r="B795" s="12"/>
      <c r="C795" s="60"/>
    </row>
    <row r="796">
      <c r="A796" s="12"/>
      <c r="B796" s="12"/>
      <c r="C796" s="60"/>
    </row>
    <row r="797">
      <c r="A797" s="12"/>
      <c r="B797" s="12"/>
      <c r="C797" s="60"/>
    </row>
    <row r="798">
      <c r="A798" s="12"/>
      <c r="B798" s="12"/>
      <c r="C798" s="60"/>
    </row>
    <row r="799">
      <c r="A799" s="12"/>
      <c r="B799" s="12"/>
      <c r="C799" s="60"/>
    </row>
    <row r="800">
      <c r="A800" s="12"/>
      <c r="B800" s="12"/>
      <c r="C800" s="60"/>
    </row>
    <row r="801">
      <c r="A801" s="12"/>
      <c r="B801" s="12"/>
      <c r="C801" s="60"/>
    </row>
    <row r="802">
      <c r="A802" s="12"/>
      <c r="B802" s="12"/>
      <c r="C802" s="60"/>
    </row>
    <row r="803">
      <c r="A803" s="12"/>
      <c r="B803" s="12"/>
      <c r="C803" s="60"/>
    </row>
    <row r="804">
      <c r="A804" s="12"/>
      <c r="B804" s="12"/>
      <c r="C804" s="60"/>
    </row>
    <row r="805">
      <c r="A805" s="12"/>
      <c r="B805" s="12"/>
      <c r="C805" s="60"/>
    </row>
    <row r="806">
      <c r="A806" s="12"/>
      <c r="B806" s="12"/>
      <c r="C806" s="60"/>
    </row>
    <row r="807">
      <c r="A807" s="12"/>
      <c r="B807" s="12"/>
      <c r="C807" s="60"/>
    </row>
    <row r="808">
      <c r="A808" s="12"/>
      <c r="B808" s="12"/>
      <c r="C808" s="60"/>
    </row>
    <row r="809">
      <c r="A809" s="12"/>
      <c r="B809" s="12"/>
      <c r="C809" s="60"/>
    </row>
    <row r="810">
      <c r="A810" s="12"/>
      <c r="B810" s="12"/>
      <c r="C810" s="60"/>
    </row>
    <row r="811">
      <c r="A811" s="12"/>
      <c r="B811" s="12"/>
      <c r="C811" s="60"/>
    </row>
    <row r="812">
      <c r="A812" s="12"/>
      <c r="B812" s="12"/>
      <c r="C812" s="60"/>
    </row>
    <row r="813">
      <c r="A813" s="12"/>
      <c r="B813" s="12"/>
      <c r="C813" s="60"/>
    </row>
    <row r="814">
      <c r="A814" s="12"/>
      <c r="B814" s="12"/>
      <c r="C814" s="60"/>
    </row>
    <row r="815">
      <c r="A815" s="12"/>
      <c r="B815" s="12"/>
      <c r="C815" s="60"/>
    </row>
    <row r="816">
      <c r="A816" s="12"/>
      <c r="B816" s="12"/>
      <c r="C816" s="60"/>
    </row>
    <row r="817">
      <c r="A817" s="12"/>
      <c r="B817" s="12"/>
      <c r="C817" s="60"/>
    </row>
    <row r="818">
      <c r="A818" s="12"/>
      <c r="B818" s="12"/>
      <c r="C818" s="60"/>
    </row>
    <row r="819">
      <c r="A819" s="12"/>
      <c r="B819" s="12"/>
      <c r="C819" s="60"/>
    </row>
    <row r="820">
      <c r="A820" s="12"/>
      <c r="B820" s="12"/>
      <c r="C820" s="60"/>
    </row>
    <row r="821">
      <c r="A821" s="12"/>
      <c r="B821" s="12"/>
      <c r="C821" s="60"/>
    </row>
    <row r="822">
      <c r="A822" s="12"/>
      <c r="B822" s="12"/>
      <c r="C822" s="60"/>
    </row>
    <row r="823">
      <c r="A823" s="12"/>
      <c r="B823" s="12"/>
      <c r="C823" s="60"/>
    </row>
    <row r="824">
      <c r="A824" s="12"/>
      <c r="B824" s="12"/>
      <c r="C824" s="60"/>
    </row>
    <row r="825">
      <c r="A825" s="12"/>
      <c r="B825" s="12"/>
      <c r="C825" s="60"/>
    </row>
    <row r="826">
      <c r="A826" s="12"/>
      <c r="B826" s="12"/>
      <c r="C826" s="60"/>
    </row>
    <row r="827">
      <c r="A827" s="12"/>
      <c r="B827" s="12"/>
      <c r="C827" s="60"/>
    </row>
    <row r="828">
      <c r="A828" s="12"/>
      <c r="B828" s="12"/>
      <c r="C828" s="60"/>
    </row>
    <row r="829">
      <c r="A829" s="12"/>
      <c r="B829" s="12"/>
      <c r="C829" s="60"/>
    </row>
    <row r="830">
      <c r="A830" s="12"/>
      <c r="B830" s="12"/>
      <c r="C830" s="60"/>
    </row>
    <row r="831">
      <c r="A831" s="12"/>
      <c r="B831" s="12"/>
      <c r="C831" s="60"/>
    </row>
    <row r="832">
      <c r="A832" s="12"/>
      <c r="B832" s="12"/>
      <c r="C832" s="60"/>
    </row>
    <row r="833">
      <c r="A833" s="12"/>
      <c r="B833" s="12"/>
      <c r="C833" s="60"/>
    </row>
    <row r="834">
      <c r="A834" s="12"/>
      <c r="B834" s="12"/>
      <c r="C834" s="60"/>
    </row>
    <row r="835">
      <c r="A835" s="12"/>
      <c r="B835" s="12"/>
      <c r="C835" s="60"/>
    </row>
    <row r="836">
      <c r="A836" s="12"/>
      <c r="B836" s="12"/>
      <c r="C836" s="60"/>
    </row>
    <row r="837">
      <c r="A837" s="12"/>
      <c r="B837" s="12"/>
      <c r="C837" s="60"/>
    </row>
    <row r="838">
      <c r="A838" s="12"/>
      <c r="B838" s="12"/>
      <c r="C838" s="60"/>
    </row>
    <row r="839">
      <c r="A839" s="12"/>
      <c r="B839" s="12"/>
      <c r="C839" s="60"/>
    </row>
    <row r="840">
      <c r="A840" s="12"/>
      <c r="B840" s="12"/>
      <c r="C840" s="60"/>
    </row>
    <row r="841">
      <c r="A841" s="12"/>
      <c r="B841" s="12"/>
      <c r="C841" s="60"/>
    </row>
    <row r="842">
      <c r="A842" s="12"/>
      <c r="B842" s="12"/>
      <c r="C842" s="60"/>
    </row>
    <row r="843">
      <c r="A843" s="12"/>
      <c r="B843" s="12"/>
      <c r="C843" s="60"/>
    </row>
    <row r="844">
      <c r="A844" s="12"/>
      <c r="B844" s="12"/>
      <c r="C844" s="60"/>
    </row>
    <row r="845">
      <c r="A845" s="12"/>
      <c r="B845" s="12"/>
      <c r="C845" s="60"/>
    </row>
    <row r="846">
      <c r="A846" s="12"/>
      <c r="B846" s="12"/>
      <c r="C846" s="60"/>
    </row>
    <row r="847">
      <c r="A847" s="12"/>
      <c r="B847" s="12"/>
      <c r="C847" s="60"/>
    </row>
    <row r="848">
      <c r="A848" s="12"/>
      <c r="B848" s="12"/>
      <c r="C848" s="60"/>
    </row>
    <row r="849">
      <c r="A849" s="12"/>
      <c r="B849" s="12"/>
      <c r="C849" s="60"/>
    </row>
    <row r="850">
      <c r="A850" s="12"/>
      <c r="B850" s="12"/>
      <c r="C850" s="60"/>
    </row>
    <row r="851">
      <c r="A851" s="12"/>
      <c r="B851" s="12"/>
      <c r="C851" s="60"/>
    </row>
    <row r="852">
      <c r="A852" s="12"/>
      <c r="B852" s="12"/>
      <c r="C852" s="60"/>
    </row>
    <row r="853">
      <c r="A853" s="12"/>
      <c r="B853" s="12"/>
      <c r="C853" s="60"/>
    </row>
    <row r="854">
      <c r="A854" s="12"/>
      <c r="B854" s="12"/>
      <c r="C854" s="60"/>
    </row>
    <row r="855">
      <c r="A855" s="12"/>
      <c r="B855" s="12"/>
      <c r="C855" s="60"/>
    </row>
    <row r="856">
      <c r="A856" s="12"/>
      <c r="B856" s="12"/>
      <c r="C856" s="60"/>
    </row>
    <row r="857">
      <c r="A857" s="12"/>
      <c r="B857" s="12"/>
      <c r="C857" s="60"/>
    </row>
    <row r="858">
      <c r="A858" s="12"/>
      <c r="B858" s="12"/>
      <c r="C858" s="60"/>
    </row>
    <row r="859">
      <c r="A859" s="12"/>
      <c r="B859" s="12"/>
      <c r="C859" s="60"/>
    </row>
    <row r="860">
      <c r="A860" s="12"/>
      <c r="B860" s="12"/>
      <c r="C860" s="60"/>
    </row>
    <row r="861">
      <c r="A861" s="12"/>
      <c r="B861" s="12"/>
      <c r="C861" s="60"/>
    </row>
    <row r="862">
      <c r="A862" s="12"/>
      <c r="B862" s="12"/>
      <c r="C862" s="60"/>
    </row>
    <row r="863">
      <c r="A863" s="12"/>
      <c r="B863" s="12"/>
      <c r="C863" s="60"/>
    </row>
    <row r="864">
      <c r="A864" s="12"/>
      <c r="B864" s="12"/>
      <c r="C864" s="60"/>
    </row>
    <row r="865">
      <c r="A865" s="12"/>
      <c r="B865" s="12"/>
      <c r="C865" s="60"/>
    </row>
    <row r="866">
      <c r="A866" s="12"/>
      <c r="B866" s="12"/>
      <c r="C866" s="60"/>
    </row>
    <row r="867">
      <c r="A867" s="12"/>
      <c r="B867" s="12"/>
      <c r="C867" s="60"/>
    </row>
    <row r="868">
      <c r="A868" s="12"/>
      <c r="B868" s="12"/>
      <c r="C868" s="60"/>
    </row>
    <row r="869">
      <c r="A869" s="12"/>
      <c r="B869" s="12"/>
      <c r="C869" s="60"/>
    </row>
    <row r="870">
      <c r="A870" s="12"/>
      <c r="B870" s="12"/>
      <c r="C870" s="60"/>
    </row>
    <row r="871">
      <c r="A871" s="12"/>
      <c r="B871" s="12"/>
      <c r="C871" s="60"/>
    </row>
    <row r="872">
      <c r="A872" s="12"/>
      <c r="B872" s="12"/>
      <c r="C872" s="60"/>
    </row>
    <row r="873">
      <c r="A873" s="12"/>
      <c r="B873" s="12"/>
      <c r="C873" s="60"/>
    </row>
    <row r="874">
      <c r="A874" s="12"/>
      <c r="B874" s="12"/>
      <c r="C874" s="60"/>
    </row>
    <row r="875">
      <c r="A875" s="12"/>
      <c r="B875" s="12"/>
      <c r="C875" s="60"/>
    </row>
    <row r="876">
      <c r="A876" s="12"/>
      <c r="B876" s="12"/>
      <c r="C876" s="60"/>
    </row>
    <row r="877">
      <c r="A877" s="12"/>
      <c r="B877" s="12"/>
      <c r="C877" s="60"/>
    </row>
    <row r="878">
      <c r="A878" s="12"/>
      <c r="B878" s="12"/>
      <c r="C878" s="60"/>
    </row>
    <row r="879">
      <c r="A879" s="12"/>
      <c r="B879" s="12"/>
      <c r="C879" s="60"/>
    </row>
    <row r="880">
      <c r="A880" s="12"/>
      <c r="B880" s="12"/>
      <c r="C880" s="60"/>
    </row>
    <row r="881">
      <c r="A881" s="12"/>
      <c r="B881" s="12"/>
      <c r="C881" s="60"/>
    </row>
    <row r="882">
      <c r="A882" s="12"/>
      <c r="B882" s="12"/>
      <c r="C882" s="60"/>
    </row>
    <row r="883">
      <c r="A883" s="12"/>
      <c r="B883" s="12"/>
      <c r="C883" s="60"/>
    </row>
    <row r="884">
      <c r="A884" s="12"/>
      <c r="B884" s="12"/>
      <c r="C884" s="60"/>
    </row>
    <row r="885">
      <c r="A885" s="12"/>
      <c r="B885" s="12"/>
      <c r="C885" s="60"/>
    </row>
    <row r="886">
      <c r="A886" s="12"/>
      <c r="B886" s="12"/>
      <c r="C886" s="60"/>
    </row>
    <row r="887">
      <c r="A887" s="12"/>
      <c r="B887" s="12"/>
      <c r="C887" s="60"/>
    </row>
    <row r="888">
      <c r="A888" s="12"/>
      <c r="B888" s="12"/>
      <c r="C888" s="60"/>
    </row>
    <row r="889">
      <c r="A889" s="12"/>
      <c r="B889" s="12"/>
      <c r="C889" s="60"/>
    </row>
    <row r="890">
      <c r="A890" s="12"/>
      <c r="B890" s="12"/>
      <c r="C890" s="60"/>
    </row>
    <row r="891">
      <c r="A891" s="12"/>
      <c r="B891" s="12"/>
      <c r="C891" s="60"/>
    </row>
    <row r="892">
      <c r="A892" s="12"/>
      <c r="B892" s="12"/>
      <c r="C892" s="60"/>
    </row>
    <row r="893">
      <c r="A893" s="12"/>
      <c r="B893" s="12"/>
      <c r="C893" s="60"/>
    </row>
    <row r="894">
      <c r="A894" s="12"/>
      <c r="B894" s="12"/>
      <c r="C894" s="60"/>
    </row>
    <row r="895">
      <c r="A895" s="12"/>
      <c r="B895" s="12"/>
      <c r="C895" s="60"/>
    </row>
    <row r="896">
      <c r="A896" s="12"/>
      <c r="B896" s="12"/>
      <c r="C896" s="60"/>
    </row>
    <row r="897">
      <c r="A897" s="12"/>
      <c r="B897" s="12"/>
      <c r="C897" s="60"/>
    </row>
    <row r="898">
      <c r="A898" s="12"/>
      <c r="B898" s="12"/>
      <c r="C898" s="60"/>
    </row>
    <row r="899">
      <c r="A899" s="12"/>
      <c r="B899" s="12"/>
      <c r="C899" s="60"/>
    </row>
    <row r="900">
      <c r="A900" s="12"/>
      <c r="B900" s="12"/>
      <c r="C900" s="60"/>
    </row>
    <row r="901">
      <c r="A901" s="12"/>
      <c r="B901" s="12"/>
      <c r="C901" s="60"/>
    </row>
    <row r="902">
      <c r="A902" s="12"/>
      <c r="B902" s="12"/>
      <c r="C902" s="60"/>
    </row>
    <row r="903">
      <c r="A903" s="12"/>
      <c r="B903" s="12"/>
      <c r="C903" s="60"/>
    </row>
    <row r="904">
      <c r="A904" s="12"/>
      <c r="B904" s="12"/>
      <c r="C904" s="60"/>
    </row>
    <row r="905">
      <c r="A905" s="12"/>
      <c r="B905" s="12"/>
      <c r="C905" s="60"/>
    </row>
    <row r="906">
      <c r="A906" s="12"/>
      <c r="B906" s="12"/>
      <c r="C906" s="60"/>
    </row>
    <row r="907">
      <c r="A907" s="12"/>
      <c r="B907" s="12"/>
      <c r="C907" s="60"/>
    </row>
    <row r="908">
      <c r="A908" s="12"/>
      <c r="B908" s="12"/>
      <c r="C908" s="60"/>
    </row>
    <row r="909">
      <c r="A909" s="12"/>
      <c r="B909" s="12"/>
      <c r="C909" s="60"/>
    </row>
    <row r="910">
      <c r="A910" s="12"/>
      <c r="B910" s="12"/>
      <c r="C910" s="60"/>
    </row>
    <row r="911">
      <c r="A911" s="12"/>
      <c r="B911" s="12"/>
      <c r="C911" s="60"/>
    </row>
    <row r="912">
      <c r="A912" s="12"/>
      <c r="B912" s="12"/>
      <c r="C912" s="60"/>
    </row>
    <row r="913">
      <c r="A913" s="12"/>
      <c r="B913" s="12"/>
      <c r="C913" s="60"/>
    </row>
    <row r="914">
      <c r="A914" s="12"/>
      <c r="B914" s="12"/>
      <c r="C914" s="60"/>
    </row>
    <row r="915">
      <c r="A915" s="12"/>
      <c r="B915" s="12"/>
      <c r="C915" s="60"/>
    </row>
    <row r="916">
      <c r="A916" s="12"/>
      <c r="B916" s="12"/>
      <c r="C916" s="60"/>
    </row>
    <row r="917">
      <c r="A917" s="12"/>
      <c r="B917" s="12"/>
      <c r="C917" s="60"/>
    </row>
    <row r="918">
      <c r="A918" s="12"/>
      <c r="B918" s="12"/>
      <c r="C918" s="60"/>
    </row>
    <row r="919">
      <c r="A919" s="12"/>
      <c r="B919" s="12"/>
      <c r="C919" s="60"/>
    </row>
    <row r="920">
      <c r="A920" s="12"/>
      <c r="B920" s="12"/>
      <c r="C920" s="60"/>
    </row>
    <row r="921">
      <c r="A921" s="12"/>
      <c r="B921" s="12"/>
      <c r="C921" s="60"/>
    </row>
    <row r="922">
      <c r="A922" s="12"/>
      <c r="B922" s="12"/>
      <c r="C922" s="60"/>
    </row>
    <row r="923">
      <c r="A923" s="12"/>
      <c r="B923" s="12"/>
      <c r="C923" s="60"/>
    </row>
    <row r="924">
      <c r="A924" s="12"/>
      <c r="B924" s="12"/>
      <c r="C924" s="60"/>
    </row>
    <row r="925">
      <c r="A925" s="12"/>
      <c r="B925" s="12"/>
      <c r="C925" s="60"/>
    </row>
    <row r="926">
      <c r="A926" s="12"/>
      <c r="B926" s="12"/>
      <c r="C926" s="60"/>
    </row>
    <row r="927">
      <c r="A927" s="12"/>
      <c r="B927" s="12"/>
      <c r="C927" s="60"/>
    </row>
    <row r="928">
      <c r="A928" s="12"/>
      <c r="B928" s="12"/>
      <c r="C928" s="60"/>
    </row>
    <row r="929">
      <c r="A929" s="12"/>
      <c r="B929" s="12"/>
      <c r="C929" s="60"/>
    </row>
    <row r="930">
      <c r="A930" s="12"/>
      <c r="B930" s="12"/>
      <c r="C930" s="60"/>
    </row>
    <row r="931">
      <c r="A931" s="12"/>
      <c r="B931" s="12"/>
      <c r="C931" s="60"/>
    </row>
    <row r="932">
      <c r="A932" s="12"/>
      <c r="B932" s="12"/>
      <c r="C932" s="60"/>
    </row>
    <row r="933">
      <c r="A933" s="12"/>
      <c r="B933" s="12"/>
      <c r="C933" s="60"/>
    </row>
    <row r="934">
      <c r="A934" s="12"/>
      <c r="B934" s="12"/>
      <c r="C934" s="60"/>
    </row>
    <row r="935">
      <c r="A935" s="12"/>
      <c r="B935" s="12"/>
      <c r="C935" s="60"/>
    </row>
    <row r="936">
      <c r="A936" s="12"/>
      <c r="B936" s="12"/>
      <c r="C936" s="60"/>
    </row>
    <row r="937">
      <c r="A937" s="12"/>
      <c r="B937" s="12"/>
      <c r="C937" s="60"/>
    </row>
    <row r="938">
      <c r="A938" s="12"/>
      <c r="B938" s="12"/>
      <c r="C938" s="60"/>
    </row>
    <row r="939">
      <c r="A939" s="12"/>
      <c r="B939" s="12"/>
      <c r="C939" s="60"/>
    </row>
    <row r="940">
      <c r="A940" s="12"/>
      <c r="B940" s="12"/>
      <c r="C940" s="60"/>
    </row>
    <row r="941">
      <c r="A941" s="12"/>
      <c r="B941" s="12"/>
      <c r="C941" s="60"/>
    </row>
    <row r="942">
      <c r="A942" s="12"/>
      <c r="B942" s="12"/>
      <c r="C942" s="60"/>
    </row>
    <row r="943">
      <c r="A943" s="12"/>
      <c r="B943" s="12"/>
      <c r="C943" s="60"/>
    </row>
    <row r="944">
      <c r="A944" s="12"/>
      <c r="B944" s="12"/>
      <c r="C944" s="60"/>
    </row>
    <row r="945">
      <c r="A945" s="12"/>
      <c r="B945" s="12"/>
      <c r="C945" s="60"/>
    </row>
    <row r="946">
      <c r="A946" s="12"/>
      <c r="B946" s="12"/>
      <c r="C946" s="60"/>
    </row>
    <row r="947">
      <c r="A947" s="12"/>
      <c r="B947" s="12"/>
      <c r="C947" s="60"/>
    </row>
    <row r="948">
      <c r="A948" s="12"/>
      <c r="B948" s="12"/>
      <c r="C948" s="60"/>
    </row>
    <row r="949">
      <c r="A949" s="12"/>
      <c r="B949" s="12"/>
      <c r="C949" s="60"/>
    </row>
    <row r="950">
      <c r="A950" s="12"/>
      <c r="B950" s="12"/>
      <c r="C950" s="60"/>
    </row>
    <row r="951">
      <c r="A951" s="12"/>
      <c r="B951" s="12"/>
      <c r="C951" s="60"/>
    </row>
    <row r="952">
      <c r="A952" s="12"/>
      <c r="B952" s="12"/>
      <c r="C952" s="60"/>
    </row>
    <row r="953">
      <c r="A953" s="12"/>
      <c r="B953" s="12"/>
      <c r="C953" s="60"/>
    </row>
  </sheetData>
  <mergeCells count="13">
    <mergeCell ref="E5:F5"/>
    <mergeCell ref="E6:F6"/>
    <mergeCell ref="A7:B7"/>
    <mergeCell ref="E7:F7"/>
    <mergeCell ref="A8:B8"/>
    <mergeCell ref="E8:F8"/>
    <mergeCell ref="B1:F1"/>
    <mergeCell ref="A2:G2"/>
    <mergeCell ref="A3:C3"/>
    <mergeCell ref="A4:C4"/>
    <mergeCell ref="E4:G4"/>
    <mergeCell ref="A5:B5"/>
    <mergeCell ref="A6:B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25.13"/>
    <col customWidth="1" min="3" max="3" width="15.13"/>
    <col customWidth="1" min="5" max="5" width="25.13"/>
    <col customWidth="1" min="6" max="6" width="15.13"/>
  </cols>
  <sheetData>
    <row r="1" ht="75.0" customHeight="1">
      <c r="A1" s="4" t="s">
        <v>108</v>
      </c>
      <c r="B1" s="3" t="s">
        <v>110</v>
      </c>
      <c r="F1" s="9">
        <f>SUM(C7,F7) / 100</f>
        <v>0</v>
      </c>
      <c r="G1" s="97" t="s">
        <v>1283</v>
      </c>
    </row>
    <row r="2">
      <c r="A2" s="10" t="s">
        <v>1284</v>
      </c>
      <c r="G2" s="10"/>
    </row>
    <row r="3">
      <c r="A3" s="12"/>
    </row>
    <row r="4">
      <c r="A4" s="23" t="s">
        <v>1286</v>
      </c>
      <c r="B4" s="6"/>
      <c r="C4" s="8"/>
      <c r="D4" s="98"/>
      <c r="E4" s="14" t="s">
        <v>1289</v>
      </c>
      <c r="F4" s="8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>
      <c r="A5" s="16" t="s">
        <v>11</v>
      </c>
      <c r="B5" s="8"/>
      <c r="C5" s="17">
        <v>10.0</v>
      </c>
      <c r="D5" s="18"/>
      <c r="E5" s="35" t="s">
        <v>11</v>
      </c>
      <c r="F5" s="17">
        <v>10.0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>
      <c r="A6" s="16" t="s">
        <v>13</v>
      </c>
      <c r="B6" s="8"/>
      <c r="C6" s="17">
        <f>COUNTA(C10:C1001)</f>
        <v>0</v>
      </c>
      <c r="D6" s="18"/>
      <c r="E6" s="35" t="s">
        <v>13</v>
      </c>
      <c r="F6" s="17">
        <f>COUNTA(F10:F1001)</f>
        <v>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>
      <c r="A7" s="16" t="s">
        <v>17</v>
      </c>
      <c r="B7" s="8"/>
      <c r="C7" s="48">
        <f>(C6 * C8) / C5</f>
        <v>0</v>
      </c>
      <c r="D7" s="18"/>
      <c r="E7" s="35" t="s">
        <v>17</v>
      </c>
      <c r="F7" s="48">
        <f>(F6 * F8) / F5</f>
        <v>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>
      <c r="A8" s="36" t="s">
        <v>24</v>
      </c>
      <c r="B8" s="8"/>
      <c r="C8" s="38">
        <v>50.0</v>
      </c>
      <c r="D8" s="18"/>
      <c r="E8" s="55" t="s">
        <v>24</v>
      </c>
      <c r="F8" s="38">
        <v>50.0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ht="59.25" customHeight="1">
      <c r="A9" s="39" t="s">
        <v>1302</v>
      </c>
      <c r="B9" s="40" t="s">
        <v>1303</v>
      </c>
      <c r="C9" s="40" t="s">
        <v>1304</v>
      </c>
      <c r="D9" s="18"/>
      <c r="E9" s="54" t="s">
        <v>1305</v>
      </c>
      <c r="F9" s="40" t="s">
        <v>1306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>
      <c r="A10" s="41" t="s">
        <v>1307</v>
      </c>
      <c r="B10" s="42"/>
      <c r="C10" s="42"/>
      <c r="E10" s="41" t="s">
        <v>104</v>
      </c>
      <c r="F10" s="41"/>
    </row>
    <row r="11">
      <c r="A11" s="41" t="s">
        <v>1310</v>
      </c>
      <c r="B11" s="42"/>
      <c r="C11" s="42"/>
      <c r="E11" s="41" t="s">
        <v>111</v>
      </c>
      <c r="F11" s="41"/>
    </row>
    <row r="12">
      <c r="A12" s="41" t="s">
        <v>1312</v>
      </c>
      <c r="B12" s="42"/>
      <c r="C12" s="42"/>
      <c r="E12" s="41" t="s">
        <v>114</v>
      </c>
      <c r="F12" s="41"/>
    </row>
    <row r="13">
      <c r="A13" s="41" t="s">
        <v>1314</v>
      </c>
      <c r="B13" s="42"/>
      <c r="C13" s="42"/>
      <c r="E13" s="41" t="s">
        <v>1315</v>
      </c>
      <c r="F13" s="41"/>
    </row>
    <row r="14">
      <c r="A14" s="41" t="s">
        <v>1317</v>
      </c>
      <c r="B14" s="42"/>
      <c r="C14" s="42"/>
      <c r="E14" s="41" t="s">
        <v>1318</v>
      </c>
      <c r="F14" s="41"/>
    </row>
    <row r="15">
      <c r="A15" s="41" t="s">
        <v>1319</v>
      </c>
      <c r="B15" s="42"/>
      <c r="C15" s="42"/>
      <c r="E15" s="41" t="s">
        <v>1321</v>
      </c>
      <c r="F15" s="41"/>
    </row>
    <row r="16">
      <c r="A16" s="41" t="s">
        <v>1323</v>
      </c>
      <c r="B16" s="42"/>
      <c r="C16" s="42"/>
      <c r="E16" s="41" t="s">
        <v>1324</v>
      </c>
      <c r="F16" s="41"/>
    </row>
    <row r="17">
      <c r="A17" s="41" t="s">
        <v>1326</v>
      </c>
      <c r="B17" s="42"/>
      <c r="C17" s="42"/>
      <c r="E17" s="41" t="s">
        <v>1328</v>
      </c>
      <c r="F17" s="41"/>
    </row>
    <row r="18">
      <c r="A18" s="41" t="s">
        <v>1330</v>
      </c>
      <c r="B18" s="42"/>
      <c r="C18" s="42"/>
      <c r="E18" s="41" t="s">
        <v>1331</v>
      </c>
      <c r="F18" s="41"/>
    </row>
    <row r="19">
      <c r="A19" s="41" t="s">
        <v>1333</v>
      </c>
      <c r="B19" s="42"/>
      <c r="C19" s="42"/>
      <c r="E19" s="41" t="s">
        <v>1335</v>
      </c>
      <c r="F19" s="41"/>
    </row>
    <row r="20">
      <c r="A20" s="62"/>
      <c r="B20" s="60"/>
      <c r="C20" s="60"/>
    </row>
    <row r="21">
      <c r="A21" s="62"/>
      <c r="B21" s="60"/>
      <c r="C21" s="60"/>
    </row>
    <row r="22">
      <c r="A22" s="62"/>
      <c r="B22" s="60"/>
      <c r="C22" s="60"/>
    </row>
    <row r="23">
      <c r="A23" s="62"/>
      <c r="B23" s="60"/>
      <c r="C23" s="60"/>
    </row>
    <row r="24">
      <c r="A24" s="62"/>
      <c r="B24" s="60"/>
      <c r="C24" s="60"/>
    </row>
    <row r="25">
      <c r="A25" s="62"/>
      <c r="B25" s="60"/>
      <c r="C25" s="60"/>
    </row>
    <row r="26">
      <c r="A26" s="62"/>
      <c r="B26" s="60"/>
      <c r="C26" s="60"/>
    </row>
    <row r="27">
      <c r="A27" s="62"/>
      <c r="B27" s="60"/>
      <c r="C27" s="60"/>
    </row>
    <row r="28">
      <c r="A28" s="62"/>
      <c r="B28" s="60"/>
      <c r="C28" s="60"/>
    </row>
    <row r="29">
      <c r="A29" s="62"/>
      <c r="B29" s="60"/>
      <c r="C29" s="60"/>
    </row>
    <row r="30">
      <c r="A30" s="62"/>
      <c r="B30" s="60"/>
      <c r="C30" s="60"/>
    </row>
    <row r="31">
      <c r="A31" s="62"/>
      <c r="B31" s="60"/>
      <c r="C31" s="60"/>
    </row>
    <row r="32">
      <c r="A32" s="62"/>
      <c r="B32" s="60"/>
      <c r="C32" s="60"/>
    </row>
    <row r="33">
      <c r="A33" s="62"/>
      <c r="B33" s="60"/>
      <c r="C33" s="60"/>
    </row>
    <row r="34">
      <c r="A34" s="62"/>
      <c r="B34" s="60"/>
      <c r="C34" s="60"/>
    </row>
    <row r="35">
      <c r="A35" s="62"/>
      <c r="B35" s="60"/>
      <c r="C35" s="60"/>
    </row>
    <row r="36">
      <c r="A36" s="62"/>
      <c r="B36" s="60"/>
      <c r="C36" s="60"/>
    </row>
    <row r="37">
      <c r="A37" s="62"/>
      <c r="B37" s="60"/>
      <c r="C37" s="60"/>
    </row>
    <row r="38">
      <c r="A38" s="62"/>
      <c r="B38" s="60"/>
      <c r="C38" s="60"/>
    </row>
    <row r="39">
      <c r="A39" s="62"/>
      <c r="B39" s="60"/>
      <c r="C39" s="60"/>
    </row>
    <row r="40">
      <c r="A40" s="62"/>
      <c r="B40" s="60"/>
      <c r="C40" s="60"/>
    </row>
    <row r="41">
      <c r="A41" s="62"/>
      <c r="B41" s="60"/>
      <c r="C41" s="60"/>
    </row>
    <row r="42">
      <c r="A42" s="62"/>
      <c r="B42" s="60"/>
      <c r="C42" s="60"/>
    </row>
    <row r="43">
      <c r="A43" s="62"/>
      <c r="B43" s="60"/>
      <c r="C43" s="60"/>
    </row>
    <row r="44">
      <c r="A44" s="62"/>
      <c r="B44" s="60"/>
      <c r="C44" s="60"/>
    </row>
    <row r="45">
      <c r="A45" s="62"/>
      <c r="B45" s="60"/>
      <c r="C45" s="60"/>
    </row>
    <row r="46">
      <c r="A46" s="62"/>
      <c r="B46" s="60"/>
      <c r="C46" s="60"/>
    </row>
    <row r="47">
      <c r="A47" s="62"/>
      <c r="B47" s="60"/>
      <c r="C47" s="60"/>
    </row>
    <row r="48">
      <c r="A48" s="62"/>
      <c r="B48" s="60"/>
      <c r="C48" s="60"/>
    </row>
    <row r="49">
      <c r="A49" s="62"/>
      <c r="B49" s="60"/>
      <c r="C49" s="60"/>
    </row>
    <row r="50">
      <c r="A50" s="62"/>
      <c r="B50" s="60"/>
      <c r="C50" s="60"/>
    </row>
    <row r="51">
      <c r="A51" s="62"/>
      <c r="B51" s="60"/>
      <c r="C51" s="60"/>
    </row>
    <row r="52">
      <c r="A52" s="62"/>
      <c r="B52" s="60"/>
      <c r="C52" s="60"/>
    </row>
    <row r="53">
      <c r="A53" s="62"/>
      <c r="B53" s="60"/>
      <c r="C53" s="60"/>
    </row>
    <row r="54">
      <c r="A54" s="62"/>
      <c r="B54" s="60"/>
      <c r="C54" s="60"/>
    </row>
    <row r="55">
      <c r="A55" s="62"/>
      <c r="B55" s="60"/>
      <c r="C55" s="60"/>
    </row>
    <row r="56">
      <c r="A56" s="62"/>
      <c r="B56" s="60"/>
      <c r="C56" s="60"/>
    </row>
    <row r="57">
      <c r="A57" s="62"/>
      <c r="B57" s="60"/>
      <c r="C57" s="60"/>
    </row>
    <row r="58">
      <c r="A58" s="62"/>
      <c r="B58" s="60"/>
      <c r="C58" s="60"/>
    </row>
    <row r="59">
      <c r="A59" s="62"/>
      <c r="B59" s="60"/>
      <c r="C59" s="60"/>
    </row>
    <row r="60">
      <c r="A60" s="62"/>
      <c r="B60" s="60"/>
      <c r="C60" s="60"/>
    </row>
    <row r="61">
      <c r="A61" s="62"/>
      <c r="B61" s="60"/>
      <c r="C61" s="60"/>
    </row>
    <row r="62">
      <c r="A62" s="62"/>
      <c r="B62" s="60"/>
      <c r="C62" s="60"/>
    </row>
    <row r="63">
      <c r="A63" s="62"/>
      <c r="B63" s="60"/>
      <c r="C63" s="60"/>
    </row>
    <row r="64">
      <c r="A64" s="62"/>
      <c r="B64" s="60"/>
      <c r="C64" s="60"/>
    </row>
    <row r="65">
      <c r="A65" s="62"/>
      <c r="B65" s="60"/>
      <c r="C65" s="60"/>
    </row>
    <row r="66">
      <c r="A66" s="62"/>
      <c r="B66" s="60"/>
      <c r="C66" s="60"/>
    </row>
    <row r="67">
      <c r="A67" s="62"/>
      <c r="B67" s="60"/>
      <c r="C67" s="60"/>
    </row>
    <row r="68">
      <c r="A68" s="62"/>
      <c r="B68" s="60"/>
      <c r="C68" s="60"/>
    </row>
    <row r="69">
      <c r="A69" s="62"/>
      <c r="B69" s="60"/>
      <c r="C69" s="60"/>
    </row>
    <row r="70">
      <c r="A70" s="62"/>
      <c r="B70" s="60"/>
      <c r="C70" s="60"/>
    </row>
    <row r="71">
      <c r="A71" s="62"/>
      <c r="B71" s="60"/>
      <c r="C71" s="60"/>
    </row>
    <row r="72">
      <c r="A72" s="62"/>
      <c r="B72" s="60"/>
      <c r="C72" s="60"/>
    </row>
    <row r="73">
      <c r="A73" s="62"/>
      <c r="B73" s="60"/>
      <c r="C73" s="60"/>
    </row>
    <row r="74">
      <c r="A74" s="62"/>
      <c r="B74" s="60"/>
      <c r="C74" s="60"/>
    </row>
    <row r="75">
      <c r="A75" s="62"/>
      <c r="B75" s="60"/>
      <c r="C75" s="60"/>
    </row>
    <row r="76">
      <c r="A76" s="62"/>
      <c r="B76" s="60"/>
      <c r="C76" s="60"/>
    </row>
    <row r="77">
      <c r="A77" s="62"/>
      <c r="B77" s="60"/>
      <c r="C77" s="60"/>
    </row>
    <row r="78">
      <c r="A78" s="62"/>
      <c r="B78" s="60"/>
      <c r="C78" s="60"/>
    </row>
    <row r="79">
      <c r="A79" s="62"/>
      <c r="B79" s="60"/>
      <c r="C79" s="60"/>
    </row>
    <row r="80">
      <c r="A80" s="62"/>
      <c r="B80" s="60"/>
      <c r="C80" s="60"/>
    </row>
    <row r="81">
      <c r="A81" s="62"/>
      <c r="B81" s="60"/>
      <c r="C81" s="60"/>
    </row>
    <row r="82">
      <c r="A82" s="62"/>
      <c r="B82" s="60"/>
      <c r="C82" s="60"/>
    </row>
    <row r="83">
      <c r="A83" s="62"/>
      <c r="B83" s="60"/>
      <c r="C83" s="60"/>
    </row>
    <row r="84">
      <c r="A84" s="62"/>
      <c r="B84" s="60"/>
      <c r="C84" s="60"/>
    </row>
    <row r="85">
      <c r="A85" s="62"/>
      <c r="B85" s="60"/>
      <c r="C85" s="60"/>
    </row>
    <row r="86">
      <c r="A86" s="62"/>
      <c r="B86" s="60"/>
      <c r="C86" s="60"/>
    </row>
    <row r="87">
      <c r="A87" s="62"/>
      <c r="B87" s="60"/>
      <c r="C87" s="60"/>
    </row>
    <row r="88">
      <c r="A88" s="62"/>
      <c r="B88" s="60"/>
      <c r="C88" s="60"/>
    </row>
    <row r="89">
      <c r="A89" s="62"/>
      <c r="B89" s="60"/>
      <c r="C89" s="60"/>
    </row>
    <row r="90">
      <c r="A90" s="62"/>
      <c r="B90" s="60"/>
      <c r="C90" s="60"/>
    </row>
    <row r="91">
      <c r="A91" s="62"/>
      <c r="B91" s="60"/>
      <c r="C91" s="60"/>
    </row>
    <row r="92">
      <c r="A92" s="62"/>
      <c r="B92" s="60"/>
      <c r="C92" s="60"/>
    </row>
    <row r="93">
      <c r="A93" s="62"/>
      <c r="B93" s="60"/>
      <c r="C93" s="60"/>
    </row>
    <row r="94">
      <c r="A94" s="62"/>
      <c r="B94" s="60"/>
      <c r="C94" s="60"/>
    </row>
    <row r="95">
      <c r="A95" s="62"/>
      <c r="B95" s="60"/>
      <c r="C95" s="60"/>
    </row>
    <row r="96">
      <c r="A96" s="62"/>
      <c r="B96" s="60"/>
      <c r="C96" s="60"/>
    </row>
    <row r="97">
      <c r="A97" s="62"/>
      <c r="B97" s="60"/>
      <c r="C97" s="60"/>
    </row>
    <row r="98">
      <c r="A98" s="62"/>
      <c r="B98" s="60"/>
      <c r="C98" s="60"/>
    </row>
    <row r="99">
      <c r="A99" s="62"/>
      <c r="B99" s="60"/>
      <c r="C99" s="60"/>
    </row>
    <row r="100">
      <c r="A100" s="62"/>
      <c r="B100" s="60"/>
      <c r="C100" s="60"/>
    </row>
    <row r="101">
      <c r="A101" s="62"/>
      <c r="B101" s="60"/>
      <c r="C101" s="60"/>
    </row>
    <row r="102">
      <c r="A102" s="62"/>
      <c r="B102" s="60"/>
      <c r="C102" s="60"/>
    </row>
    <row r="103">
      <c r="A103" s="62"/>
      <c r="B103" s="60"/>
      <c r="C103" s="60"/>
    </row>
    <row r="104">
      <c r="A104" s="62"/>
      <c r="B104" s="60"/>
      <c r="C104" s="60"/>
    </row>
    <row r="105">
      <c r="A105" s="62"/>
      <c r="B105" s="60"/>
      <c r="C105" s="60"/>
    </row>
    <row r="106">
      <c r="A106" s="62"/>
      <c r="B106" s="60"/>
      <c r="C106" s="60"/>
    </row>
    <row r="107">
      <c r="A107" s="62"/>
      <c r="B107" s="60"/>
      <c r="C107" s="60"/>
    </row>
    <row r="108">
      <c r="A108" s="62"/>
      <c r="B108" s="60"/>
      <c r="C108" s="60"/>
    </row>
    <row r="109">
      <c r="A109" s="62"/>
      <c r="B109" s="60"/>
      <c r="C109" s="60"/>
    </row>
    <row r="110">
      <c r="A110" s="12"/>
      <c r="B110" s="60"/>
      <c r="C110" s="60"/>
    </row>
    <row r="111">
      <c r="A111" s="12"/>
      <c r="B111" s="60"/>
      <c r="C111" s="60"/>
    </row>
    <row r="112">
      <c r="A112" s="12"/>
      <c r="B112" s="60"/>
      <c r="C112" s="60"/>
    </row>
    <row r="113">
      <c r="A113" s="12"/>
      <c r="B113" s="60"/>
      <c r="C113" s="60"/>
    </row>
    <row r="114">
      <c r="A114" s="12"/>
      <c r="B114" s="60"/>
      <c r="C114" s="60"/>
    </row>
    <row r="115">
      <c r="A115" s="12"/>
      <c r="B115" s="60"/>
      <c r="C115" s="60"/>
    </row>
    <row r="116">
      <c r="A116" s="12"/>
      <c r="B116" s="60"/>
      <c r="C116" s="60"/>
    </row>
    <row r="117">
      <c r="A117" s="12"/>
      <c r="B117" s="60"/>
      <c r="C117" s="60"/>
    </row>
    <row r="118">
      <c r="A118" s="12"/>
      <c r="B118" s="60"/>
      <c r="C118" s="60"/>
    </row>
    <row r="119">
      <c r="A119" s="12"/>
      <c r="B119" s="60"/>
      <c r="C119" s="60"/>
    </row>
    <row r="120">
      <c r="A120" s="12"/>
      <c r="B120" s="60"/>
      <c r="C120" s="60"/>
    </row>
    <row r="121">
      <c r="A121" s="12"/>
      <c r="B121" s="60"/>
      <c r="C121" s="60"/>
    </row>
    <row r="122">
      <c r="A122" s="12"/>
      <c r="B122" s="60"/>
      <c r="C122" s="60"/>
    </row>
    <row r="123">
      <c r="A123" s="12"/>
      <c r="B123" s="60"/>
      <c r="C123" s="60"/>
    </row>
    <row r="124">
      <c r="A124" s="12"/>
      <c r="B124" s="60"/>
      <c r="C124" s="60"/>
    </row>
    <row r="125">
      <c r="A125" s="12"/>
      <c r="B125" s="60"/>
      <c r="C125" s="60"/>
    </row>
    <row r="126">
      <c r="A126" s="12"/>
      <c r="B126" s="60"/>
      <c r="C126" s="60"/>
    </row>
    <row r="127">
      <c r="A127" s="12"/>
      <c r="B127" s="60"/>
      <c r="C127" s="60"/>
    </row>
    <row r="128">
      <c r="A128" s="12"/>
      <c r="B128" s="60"/>
      <c r="C128" s="60"/>
    </row>
    <row r="129">
      <c r="A129" s="12"/>
      <c r="B129" s="60"/>
      <c r="C129" s="60"/>
    </row>
    <row r="130">
      <c r="A130" s="12"/>
      <c r="B130" s="60"/>
      <c r="C130" s="60"/>
    </row>
    <row r="131">
      <c r="A131" s="12"/>
      <c r="B131" s="60"/>
      <c r="C131" s="60"/>
    </row>
    <row r="132">
      <c r="A132" s="12"/>
      <c r="B132" s="60"/>
      <c r="C132" s="60"/>
    </row>
    <row r="133">
      <c r="A133" s="12"/>
      <c r="B133" s="60"/>
      <c r="C133" s="60"/>
    </row>
    <row r="134">
      <c r="A134" s="12"/>
      <c r="B134" s="60"/>
      <c r="C134" s="60"/>
    </row>
    <row r="135">
      <c r="A135" s="12"/>
      <c r="B135" s="60"/>
      <c r="C135" s="60"/>
    </row>
    <row r="136">
      <c r="A136" s="12"/>
      <c r="B136" s="60"/>
      <c r="C136" s="60"/>
    </row>
    <row r="137">
      <c r="A137" s="12"/>
      <c r="B137" s="60"/>
      <c r="C137" s="60"/>
    </row>
    <row r="138">
      <c r="A138" s="12"/>
      <c r="B138" s="60"/>
      <c r="C138" s="60"/>
    </row>
    <row r="139">
      <c r="A139" s="12"/>
      <c r="B139" s="60"/>
      <c r="C139" s="60"/>
    </row>
    <row r="140">
      <c r="A140" s="12"/>
      <c r="B140" s="60"/>
      <c r="C140" s="60"/>
    </row>
    <row r="141">
      <c r="A141" s="12"/>
      <c r="B141" s="60"/>
      <c r="C141" s="60"/>
    </row>
    <row r="142">
      <c r="A142" s="12"/>
      <c r="B142" s="60"/>
      <c r="C142" s="60"/>
    </row>
    <row r="143">
      <c r="A143" s="12"/>
      <c r="B143" s="60"/>
      <c r="C143" s="60"/>
    </row>
    <row r="144">
      <c r="A144" s="12"/>
      <c r="B144" s="60"/>
      <c r="C144" s="60"/>
    </row>
    <row r="145">
      <c r="A145" s="12"/>
      <c r="B145" s="60"/>
      <c r="C145" s="60"/>
    </row>
    <row r="146">
      <c r="A146" s="12"/>
      <c r="B146" s="60"/>
      <c r="C146" s="60"/>
    </row>
    <row r="147">
      <c r="A147" s="12"/>
      <c r="B147" s="60"/>
      <c r="C147" s="60"/>
    </row>
    <row r="148">
      <c r="A148" s="12"/>
      <c r="B148" s="60"/>
      <c r="C148" s="60"/>
    </row>
    <row r="149">
      <c r="A149" s="12"/>
      <c r="B149" s="60"/>
      <c r="C149" s="60"/>
    </row>
    <row r="150">
      <c r="A150" s="12"/>
      <c r="B150" s="60"/>
      <c r="C150" s="60"/>
    </row>
    <row r="151">
      <c r="A151" s="12"/>
      <c r="B151" s="60"/>
      <c r="C151" s="60"/>
    </row>
    <row r="152">
      <c r="A152" s="12"/>
      <c r="B152" s="60"/>
      <c r="C152" s="60"/>
    </row>
    <row r="153">
      <c r="A153" s="12"/>
      <c r="B153" s="60"/>
      <c r="C153" s="60"/>
    </row>
    <row r="154">
      <c r="A154" s="12"/>
      <c r="B154" s="60"/>
      <c r="C154" s="60"/>
    </row>
    <row r="155">
      <c r="A155" s="12"/>
      <c r="B155" s="60"/>
      <c r="C155" s="60"/>
    </row>
    <row r="156">
      <c r="A156" s="12"/>
      <c r="B156" s="60"/>
      <c r="C156" s="60"/>
    </row>
    <row r="157">
      <c r="A157" s="12"/>
      <c r="B157" s="60"/>
      <c r="C157" s="60"/>
    </row>
    <row r="158">
      <c r="A158" s="12"/>
      <c r="B158" s="60"/>
      <c r="C158" s="60"/>
    </row>
    <row r="159">
      <c r="A159" s="12"/>
      <c r="B159" s="60"/>
      <c r="C159" s="60"/>
    </row>
    <row r="160">
      <c r="A160" s="12"/>
      <c r="B160" s="60"/>
      <c r="C160" s="60"/>
    </row>
    <row r="161">
      <c r="A161" s="12"/>
      <c r="B161" s="60"/>
      <c r="C161" s="60"/>
    </row>
    <row r="162">
      <c r="A162" s="12"/>
      <c r="B162" s="60"/>
      <c r="C162" s="60"/>
    </row>
    <row r="163">
      <c r="A163" s="12"/>
      <c r="B163" s="60"/>
      <c r="C163" s="60"/>
    </row>
    <row r="164">
      <c r="A164" s="12"/>
      <c r="B164" s="60"/>
      <c r="C164" s="60"/>
    </row>
    <row r="165">
      <c r="A165" s="12"/>
      <c r="B165" s="60"/>
      <c r="C165" s="60"/>
    </row>
    <row r="166">
      <c r="A166" s="12"/>
      <c r="B166" s="60"/>
      <c r="C166" s="60"/>
    </row>
    <row r="167">
      <c r="A167" s="12"/>
      <c r="B167" s="60"/>
      <c r="C167" s="60"/>
    </row>
    <row r="168">
      <c r="A168" s="12"/>
      <c r="B168" s="60"/>
      <c r="C168" s="60"/>
    </row>
    <row r="169">
      <c r="A169" s="12"/>
      <c r="B169" s="60"/>
      <c r="C169" s="60"/>
    </row>
    <row r="170">
      <c r="A170" s="12"/>
      <c r="B170" s="60"/>
      <c r="C170" s="60"/>
    </row>
    <row r="171">
      <c r="A171" s="12"/>
      <c r="B171" s="60"/>
      <c r="C171" s="60"/>
    </row>
    <row r="172">
      <c r="A172" s="12"/>
      <c r="B172" s="60"/>
      <c r="C172" s="60"/>
    </row>
    <row r="173">
      <c r="A173" s="12"/>
      <c r="B173" s="60"/>
      <c r="C173" s="60"/>
    </row>
    <row r="174">
      <c r="A174" s="12"/>
      <c r="B174" s="60"/>
      <c r="C174" s="60"/>
    </row>
    <row r="175">
      <c r="A175" s="12"/>
      <c r="B175" s="60"/>
      <c r="C175" s="60"/>
    </row>
    <row r="176">
      <c r="A176" s="12"/>
      <c r="B176" s="60"/>
      <c r="C176" s="60"/>
    </row>
    <row r="177">
      <c r="A177" s="12"/>
      <c r="B177" s="60"/>
      <c r="C177" s="60"/>
    </row>
    <row r="178">
      <c r="A178" s="12"/>
      <c r="B178" s="60"/>
      <c r="C178" s="60"/>
    </row>
    <row r="179">
      <c r="A179" s="12"/>
      <c r="B179" s="60"/>
      <c r="C179" s="60"/>
    </row>
    <row r="180">
      <c r="A180" s="12"/>
      <c r="B180" s="60"/>
      <c r="C180" s="60"/>
    </row>
    <row r="181">
      <c r="A181" s="12"/>
      <c r="B181" s="60"/>
      <c r="C181" s="60"/>
    </row>
    <row r="182">
      <c r="A182" s="12"/>
      <c r="B182" s="60"/>
      <c r="C182" s="60"/>
    </row>
    <row r="183">
      <c r="A183" s="12"/>
      <c r="B183" s="60"/>
      <c r="C183" s="60"/>
    </row>
    <row r="184">
      <c r="A184" s="12"/>
      <c r="B184" s="60"/>
      <c r="C184" s="60"/>
    </row>
    <row r="185">
      <c r="A185" s="12"/>
      <c r="B185" s="60"/>
      <c r="C185" s="60"/>
    </row>
    <row r="186">
      <c r="A186" s="12"/>
      <c r="B186" s="60"/>
      <c r="C186" s="60"/>
    </row>
    <row r="187">
      <c r="A187" s="12"/>
      <c r="B187" s="60"/>
      <c r="C187" s="60"/>
    </row>
    <row r="188">
      <c r="A188" s="12"/>
      <c r="B188" s="60"/>
      <c r="C188" s="60"/>
    </row>
    <row r="189">
      <c r="A189" s="12"/>
      <c r="B189" s="60"/>
      <c r="C189" s="60"/>
    </row>
    <row r="190">
      <c r="A190" s="12"/>
      <c r="B190" s="60"/>
      <c r="C190" s="60"/>
    </row>
    <row r="191">
      <c r="A191" s="12"/>
      <c r="B191" s="60"/>
      <c r="C191" s="60"/>
    </row>
    <row r="192">
      <c r="A192" s="12"/>
      <c r="B192" s="60"/>
      <c r="C192" s="60"/>
    </row>
    <row r="193">
      <c r="A193" s="12"/>
      <c r="B193" s="60"/>
      <c r="C193" s="60"/>
    </row>
    <row r="194">
      <c r="A194" s="12"/>
      <c r="B194" s="60"/>
      <c r="C194" s="60"/>
    </row>
    <row r="195">
      <c r="A195" s="12"/>
      <c r="B195" s="60"/>
      <c r="C195" s="60"/>
    </row>
    <row r="196">
      <c r="A196" s="12"/>
      <c r="B196" s="60"/>
      <c r="C196" s="60"/>
    </row>
    <row r="197">
      <c r="A197" s="12"/>
      <c r="B197" s="60"/>
      <c r="C197" s="60"/>
    </row>
    <row r="198">
      <c r="A198" s="12"/>
      <c r="B198" s="60"/>
      <c r="C198" s="60"/>
    </row>
    <row r="199">
      <c r="A199" s="12"/>
      <c r="B199" s="60"/>
      <c r="C199" s="60"/>
    </row>
    <row r="200">
      <c r="A200" s="12"/>
      <c r="B200" s="60"/>
      <c r="C200" s="60"/>
    </row>
    <row r="201">
      <c r="A201" s="12"/>
      <c r="B201" s="60"/>
      <c r="C201" s="60"/>
    </row>
    <row r="202">
      <c r="A202" s="12"/>
      <c r="B202" s="60"/>
      <c r="C202" s="60"/>
    </row>
    <row r="203">
      <c r="A203" s="12"/>
      <c r="B203" s="60"/>
      <c r="C203" s="60"/>
    </row>
    <row r="204">
      <c r="A204" s="12"/>
      <c r="B204" s="60"/>
      <c r="C204" s="60"/>
    </row>
    <row r="205">
      <c r="A205" s="12"/>
      <c r="B205" s="60"/>
      <c r="C205" s="60"/>
    </row>
    <row r="206">
      <c r="A206" s="12"/>
      <c r="B206" s="60"/>
      <c r="C206" s="60"/>
    </row>
    <row r="207">
      <c r="A207" s="12"/>
      <c r="B207" s="60"/>
      <c r="C207" s="60"/>
    </row>
    <row r="208">
      <c r="A208" s="12"/>
      <c r="B208" s="60"/>
      <c r="C208" s="60"/>
    </row>
    <row r="209">
      <c r="A209" s="12"/>
      <c r="B209" s="60"/>
      <c r="C209" s="60"/>
    </row>
    <row r="210">
      <c r="A210" s="12"/>
      <c r="B210" s="60"/>
      <c r="C210" s="60"/>
    </row>
    <row r="211">
      <c r="A211" s="12"/>
      <c r="B211" s="60"/>
      <c r="C211" s="60"/>
    </row>
    <row r="212">
      <c r="A212" s="12"/>
      <c r="B212" s="60"/>
      <c r="C212" s="60"/>
    </row>
    <row r="213">
      <c r="A213" s="12"/>
      <c r="B213" s="60"/>
      <c r="C213" s="60"/>
    </row>
    <row r="214">
      <c r="A214" s="12"/>
      <c r="B214" s="60"/>
      <c r="C214" s="60"/>
    </row>
    <row r="215">
      <c r="A215" s="12"/>
      <c r="B215" s="60"/>
      <c r="C215" s="60"/>
    </row>
    <row r="216">
      <c r="A216" s="12"/>
      <c r="B216" s="60"/>
      <c r="C216" s="60"/>
    </row>
    <row r="217">
      <c r="A217" s="12"/>
      <c r="B217" s="60"/>
      <c r="C217" s="60"/>
    </row>
    <row r="218">
      <c r="A218" s="12"/>
      <c r="B218" s="60"/>
      <c r="C218" s="60"/>
    </row>
    <row r="219">
      <c r="A219" s="12"/>
      <c r="B219" s="60"/>
      <c r="C219" s="60"/>
    </row>
    <row r="220">
      <c r="A220" s="12"/>
      <c r="B220" s="60"/>
      <c r="C220" s="60"/>
    </row>
    <row r="221">
      <c r="A221" s="12"/>
      <c r="B221" s="60"/>
      <c r="C221" s="60"/>
    </row>
    <row r="222">
      <c r="A222" s="12"/>
      <c r="B222" s="60"/>
      <c r="C222" s="60"/>
    </row>
    <row r="223">
      <c r="A223" s="12"/>
      <c r="B223" s="60"/>
      <c r="C223" s="60"/>
    </row>
    <row r="224">
      <c r="A224" s="12"/>
      <c r="B224" s="60"/>
      <c r="C224" s="60"/>
    </row>
    <row r="225">
      <c r="A225" s="12"/>
      <c r="B225" s="60"/>
      <c r="C225" s="60"/>
    </row>
    <row r="226">
      <c r="A226" s="12"/>
      <c r="B226" s="60"/>
      <c r="C226" s="60"/>
    </row>
    <row r="227">
      <c r="A227" s="12"/>
      <c r="B227" s="60"/>
      <c r="C227" s="60"/>
    </row>
    <row r="228">
      <c r="A228" s="12"/>
      <c r="B228" s="60"/>
      <c r="C228" s="60"/>
    </row>
    <row r="229">
      <c r="A229" s="12"/>
      <c r="B229" s="60"/>
      <c r="C229" s="60"/>
    </row>
    <row r="230">
      <c r="A230" s="12"/>
      <c r="B230" s="60"/>
      <c r="C230" s="60"/>
    </row>
    <row r="231">
      <c r="A231" s="12"/>
      <c r="B231" s="60"/>
      <c r="C231" s="60"/>
    </row>
    <row r="232">
      <c r="A232" s="12"/>
      <c r="B232" s="60"/>
      <c r="C232" s="60"/>
    </row>
    <row r="233">
      <c r="A233" s="12"/>
      <c r="B233" s="60"/>
      <c r="C233" s="60"/>
    </row>
    <row r="234">
      <c r="A234" s="12"/>
      <c r="B234" s="60"/>
      <c r="C234" s="60"/>
    </row>
    <row r="235">
      <c r="A235" s="12"/>
      <c r="B235" s="60"/>
      <c r="C235" s="60"/>
    </row>
    <row r="236">
      <c r="A236" s="12"/>
      <c r="B236" s="60"/>
      <c r="C236" s="60"/>
    </row>
    <row r="237">
      <c r="A237" s="12"/>
      <c r="B237" s="60"/>
      <c r="C237" s="60"/>
    </row>
    <row r="238">
      <c r="A238" s="12"/>
      <c r="B238" s="60"/>
      <c r="C238" s="60"/>
    </row>
    <row r="239">
      <c r="A239" s="12"/>
      <c r="B239" s="60"/>
      <c r="C239" s="60"/>
    </row>
    <row r="240">
      <c r="A240" s="12"/>
      <c r="B240" s="60"/>
      <c r="C240" s="60"/>
    </row>
    <row r="241">
      <c r="A241" s="12"/>
      <c r="B241" s="60"/>
      <c r="C241" s="60"/>
    </row>
    <row r="242">
      <c r="A242" s="12"/>
      <c r="B242" s="60"/>
      <c r="C242" s="60"/>
    </row>
    <row r="243">
      <c r="A243" s="12"/>
      <c r="B243" s="60"/>
      <c r="C243" s="60"/>
    </row>
    <row r="244">
      <c r="A244" s="12"/>
      <c r="B244" s="60"/>
      <c r="C244" s="60"/>
    </row>
    <row r="245">
      <c r="A245" s="12"/>
      <c r="B245" s="60"/>
      <c r="C245" s="60"/>
    </row>
    <row r="246">
      <c r="A246" s="12"/>
      <c r="B246" s="60"/>
      <c r="C246" s="60"/>
    </row>
    <row r="247">
      <c r="A247" s="12"/>
      <c r="B247" s="60"/>
      <c r="C247" s="60"/>
    </row>
    <row r="248">
      <c r="A248" s="12"/>
      <c r="B248" s="60"/>
      <c r="C248" s="60"/>
    </row>
    <row r="249">
      <c r="A249" s="12"/>
      <c r="B249" s="60"/>
      <c r="C249" s="60"/>
    </row>
    <row r="250">
      <c r="A250" s="12"/>
      <c r="B250" s="60"/>
      <c r="C250" s="60"/>
    </row>
    <row r="251">
      <c r="A251" s="12"/>
      <c r="B251" s="60"/>
      <c r="C251" s="60"/>
    </row>
    <row r="252">
      <c r="A252" s="12"/>
      <c r="B252" s="60"/>
      <c r="C252" s="60"/>
    </row>
    <row r="253">
      <c r="A253" s="12"/>
      <c r="B253" s="60"/>
      <c r="C253" s="60"/>
    </row>
    <row r="254">
      <c r="A254" s="12"/>
      <c r="B254" s="60"/>
      <c r="C254" s="60"/>
    </row>
    <row r="255">
      <c r="A255" s="12"/>
      <c r="B255" s="60"/>
      <c r="C255" s="60"/>
    </row>
    <row r="256">
      <c r="A256" s="12"/>
      <c r="B256" s="60"/>
      <c r="C256" s="60"/>
    </row>
    <row r="257">
      <c r="A257" s="12"/>
      <c r="B257" s="60"/>
      <c r="C257" s="60"/>
    </row>
    <row r="258">
      <c r="A258" s="12"/>
      <c r="B258" s="60"/>
      <c r="C258" s="60"/>
    </row>
    <row r="259">
      <c r="A259" s="12"/>
      <c r="B259" s="60"/>
      <c r="C259" s="60"/>
    </row>
    <row r="260">
      <c r="A260" s="12"/>
      <c r="B260" s="60"/>
      <c r="C260" s="60"/>
    </row>
    <row r="261">
      <c r="A261" s="12"/>
      <c r="B261" s="60"/>
      <c r="C261" s="60"/>
    </row>
    <row r="262">
      <c r="A262" s="12"/>
      <c r="B262" s="60"/>
      <c r="C262" s="60"/>
    </row>
    <row r="263">
      <c r="A263" s="12"/>
      <c r="B263" s="60"/>
      <c r="C263" s="60"/>
    </row>
    <row r="264">
      <c r="A264" s="12"/>
      <c r="B264" s="60"/>
      <c r="C264" s="60"/>
    </row>
    <row r="265">
      <c r="A265" s="12"/>
      <c r="B265" s="60"/>
      <c r="C265" s="60"/>
    </row>
    <row r="266">
      <c r="A266" s="12"/>
      <c r="B266" s="60"/>
      <c r="C266" s="60"/>
    </row>
    <row r="267">
      <c r="A267" s="12"/>
      <c r="B267" s="60"/>
      <c r="C267" s="60"/>
    </row>
    <row r="268">
      <c r="A268" s="12"/>
      <c r="B268" s="60"/>
      <c r="C268" s="60"/>
    </row>
    <row r="269">
      <c r="A269" s="12"/>
      <c r="B269" s="60"/>
      <c r="C269" s="60"/>
    </row>
    <row r="270">
      <c r="A270" s="12"/>
      <c r="B270" s="60"/>
      <c r="C270" s="60"/>
    </row>
    <row r="271">
      <c r="A271" s="12"/>
      <c r="B271" s="60"/>
      <c r="C271" s="60"/>
    </row>
    <row r="272">
      <c r="A272" s="12"/>
      <c r="B272" s="60"/>
      <c r="C272" s="60"/>
    </row>
    <row r="273">
      <c r="A273" s="12"/>
      <c r="B273" s="60"/>
      <c r="C273" s="60"/>
    </row>
    <row r="274">
      <c r="A274" s="12"/>
      <c r="B274" s="60"/>
      <c r="C274" s="60"/>
    </row>
    <row r="275">
      <c r="A275" s="12"/>
      <c r="B275" s="60"/>
      <c r="C275" s="60"/>
    </row>
    <row r="276">
      <c r="A276" s="12"/>
      <c r="B276" s="60"/>
      <c r="C276" s="60"/>
    </row>
    <row r="277">
      <c r="A277" s="12"/>
      <c r="B277" s="60"/>
      <c r="C277" s="60"/>
    </row>
    <row r="278">
      <c r="A278" s="12"/>
      <c r="B278" s="60"/>
      <c r="C278" s="60"/>
    </row>
    <row r="279">
      <c r="A279" s="12"/>
      <c r="B279" s="60"/>
      <c r="C279" s="60"/>
    </row>
    <row r="280">
      <c r="A280" s="12"/>
      <c r="B280" s="60"/>
      <c r="C280" s="60"/>
    </row>
    <row r="281">
      <c r="A281" s="12"/>
      <c r="B281" s="60"/>
      <c r="C281" s="60"/>
    </row>
    <row r="282">
      <c r="A282" s="12"/>
      <c r="B282" s="60"/>
      <c r="C282" s="60"/>
    </row>
    <row r="283">
      <c r="A283" s="12"/>
      <c r="B283" s="60"/>
      <c r="C283" s="60"/>
    </row>
    <row r="284">
      <c r="A284" s="12"/>
      <c r="B284" s="60"/>
      <c r="C284" s="60"/>
    </row>
    <row r="285">
      <c r="A285" s="12"/>
      <c r="B285" s="60"/>
      <c r="C285" s="60"/>
    </row>
    <row r="286">
      <c r="A286" s="12"/>
      <c r="B286" s="60"/>
      <c r="C286" s="60"/>
    </row>
    <row r="287">
      <c r="A287" s="12"/>
      <c r="B287" s="60"/>
      <c r="C287" s="60"/>
    </row>
    <row r="288">
      <c r="A288" s="12"/>
      <c r="B288" s="60"/>
      <c r="C288" s="60"/>
    </row>
    <row r="289">
      <c r="A289" s="12"/>
      <c r="B289" s="60"/>
      <c r="C289" s="60"/>
    </row>
    <row r="290">
      <c r="A290" s="12"/>
      <c r="B290" s="60"/>
      <c r="C290" s="60"/>
    </row>
    <row r="291">
      <c r="A291" s="12"/>
      <c r="B291" s="60"/>
      <c r="C291" s="60"/>
    </row>
    <row r="292">
      <c r="A292" s="12"/>
      <c r="B292" s="60"/>
      <c r="C292" s="60"/>
    </row>
    <row r="293">
      <c r="A293" s="12"/>
      <c r="B293" s="60"/>
      <c r="C293" s="60"/>
    </row>
    <row r="294">
      <c r="A294" s="12"/>
      <c r="B294" s="60"/>
      <c r="C294" s="60"/>
    </row>
    <row r="295">
      <c r="A295" s="12"/>
      <c r="B295" s="60"/>
      <c r="C295" s="60"/>
    </row>
    <row r="296">
      <c r="A296" s="12"/>
      <c r="B296" s="60"/>
      <c r="C296" s="60"/>
    </row>
    <row r="297">
      <c r="A297" s="12"/>
      <c r="B297" s="60"/>
      <c r="C297" s="60"/>
    </row>
    <row r="298">
      <c r="A298" s="12"/>
      <c r="B298" s="60"/>
      <c r="C298" s="60"/>
    </row>
    <row r="299">
      <c r="A299" s="12"/>
      <c r="B299" s="60"/>
      <c r="C299" s="60"/>
    </row>
    <row r="300">
      <c r="A300" s="12"/>
      <c r="B300" s="60"/>
      <c r="C300" s="60"/>
    </row>
    <row r="301">
      <c r="A301" s="12"/>
      <c r="B301" s="60"/>
      <c r="C301" s="60"/>
    </row>
    <row r="302">
      <c r="A302" s="12"/>
      <c r="B302" s="60"/>
      <c r="C302" s="60"/>
    </row>
    <row r="303">
      <c r="A303" s="12"/>
      <c r="B303" s="60"/>
      <c r="C303" s="60"/>
    </row>
    <row r="304">
      <c r="A304" s="12"/>
      <c r="B304" s="60"/>
      <c r="C304" s="60"/>
    </row>
    <row r="305">
      <c r="A305" s="12"/>
      <c r="B305" s="60"/>
      <c r="C305" s="60"/>
    </row>
    <row r="306">
      <c r="A306" s="12"/>
      <c r="B306" s="60"/>
      <c r="C306" s="60"/>
    </row>
    <row r="307">
      <c r="A307" s="12"/>
      <c r="B307" s="60"/>
      <c r="C307" s="60"/>
    </row>
    <row r="308">
      <c r="A308" s="12"/>
      <c r="B308" s="60"/>
      <c r="C308" s="60"/>
    </row>
    <row r="309">
      <c r="A309" s="12"/>
      <c r="B309" s="60"/>
      <c r="C309" s="60"/>
    </row>
    <row r="310">
      <c r="A310" s="12"/>
      <c r="B310" s="60"/>
      <c r="C310" s="60"/>
    </row>
    <row r="311">
      <c r="A311" s="12"/>
      <c r="B311" s="60"/>
      <c r="C311" s="60"/>
    </row>
    <row r="312">
      <c r="A312" s="12"/>
      <c r="B312" s="60"/>
      <c r="C312" s="60"/>
    </row>
    <row r="313">
      <c r="A313" s="12"/>
      <c r="B313" s="60"/>
      <c r="C313" s="60"/>
    </row>
    <row r="314">
      <c r="A314" s="12"/>
      <c r="B314" s="60"/>
      <c r="C314" s="60"/>
    </row>
    <row r="315">
      <c r="A315" s="12"/>
      <c r="B315" s="60"/>
      <c r="C315" s="60"/>
    </row>
    <row r="316">
      <c r="A316" s="12"/>
      <c r="B316" s="60"/>
      <c r="C316" s="60"/>
    </row>
    <row r="317">
      <c r="A317" s="12"/>
      <c r="B317" s="60"/>
      <c r="C317" s="60"/>
    </row>
    <row r="318">
      <c r="A318" s="12"/>
      <c r="B318" s="60"/>
      <c r="C318" s="60"/>
    </row>
    <row r="319">
      <c r="A319" s="12"/>
      <c r="B319" s="60"/>
      <c r="C319" s="60"/>
    </row>
    <row r="320">
      <c r="A320" s="12"/>
      <c r="B320" s="60"/>
      <c r="C320" s="60"/>
    </row>
    <row r="321">
      <c r="A321" s="12"/>
      <c r="B321" s="60"/>
      <c r="C321" s="60"/>
    </row>
    <row r="322">
      <c r="A322" s="12"/>
      <c r="B322" s="60"/>
      <c r="C322" s="60"/>
    </row>
    <row r="323">
      <c r="A323" s="12"/>
      <c r="B323" s="60"/>
      <c r="C323" s="60"/>
    </row>
    <row r="324">
      <c r="A324" s="12"/>
      <c r="B324" s="60"/>
      <c r="C324" s="60"/>
    </row>
    <row r="325">
      <c r="A325" s="12"/>
      <c r="B325" s="60"/>
      <c r="C325" s="60"/>
    </row>
    <row r="326">
      <c r="A326" s="12"/>
      <c r="B326" s="60"/>
      <c r="C326" s="60"/>
    </row>
    <row r="327">
      <c r="A327" s="12"/>
      <c r="B327" s="60"/>
      <c r="C327" s="60"/>
    </row>
    <row r="328">
      <c r="A328" s="12"/>
      <c r="B328" s="60"/>
      <c r="C328" s="60"/>
    </row>
    <row r="329">
      <c r="A329" s="12"/>
      <c r="B329" s="60"/>
      <c r="C329" s="60"/>
    </row>
    <row r="330">
      <c r="A330" s="12"/>
      <c r="B330" s="60"/>
      <c r="C330" s="60"/>
    </row>
    <row r="331">
      <c r="A331" s="12"/>
      <c r="B331" s="60"/>
      <c r="C331" s="60"/>
    </row>
    <row r="332">
      <c r="A332" s="12"/>
      <c r="B332" s="60"/>
      <c r="C332" s="60"/>
    </row>
    <row r="333">
      <c r="A333" s="12"/>
      <c r="B333" s="60"/>
      <c r="C333" s="60"/>
    </row>
    <row r="334">
      <c r="A334" s="12"/>
      <c r="B334" s="60"/>
      <c r="C334" s="60"/>
    </row>
    <row r="335">
      <c r="A335" s="12"/>
      <c r="B335" s="60"/>
      <c r="C335" s="60"/>
    </row>
    <row r="336">
      <c r="A336" s="12"/>
      <c r="B336" s="60"/>
      <c r="C336" s="60"/>
    </row>
    <row r="337">
      <c r="A337" s="12"/>
      <c r="B337" s="60"/>
      <c r="C337" s="60"/>
    </row>
    <row r="338">
      <c r="A338" s="12"/>
      <c r="B338" s="60"/>
      <c r="C338" s="60"/>
    </row>
    <row r="339">
      <c r="A339" s="12"/>
      <c r="B339" s="60"/>
      <c r="C339" s="60"/>
    </row>
    <row r="340">
      <c r="A340" s="12"/>
      <c r="B340" s="60"/>
      <c r="C340" s="60"/>
    </row>
    <row r="341">
      <c r="A341" s="12"/>
      <c r="B341" s="60"/>
      <c r="C341" s="60"/>
    </row>
    <row r="342">
      <c r="A342" s="12"/>
      <c r="B342" s="60"/>
      <c r="C342" s="60"/>
    </row>
    <row r="343">
      <c r="A343" s="12"/>
      <c r="B343" s="60"/>
      <c r="C343" s="60"/>
    </row>
    <row r="344">
      <c r="A344" s="12"/>
      <c r="B344" s="60"/>
      <c r="C344" s="60"/>
    </row>
    <row r="345">
      <c r="A345" s="12"/>
      <c r="B345" s="60"/>
      <c r="C345" s="60"/>
    </row>
    <row r="346">
      <c r="A346" s="12"/>
      <c r="B346" s="60"/>
      <c r="C346" s="60"/>
    </row>
    <row r="347">
      <c r="A347" s="12"/>
      <c r="B347" s="60"/>
      <c r="C347" s="60"/>
    </row>
    <row r="348">
      <c r="A348" s="12"/>
      <c r="B348" s="60"/>
      <c r="C348" s="60"/>
    </row>
    <row r="349">
      <c r="A349" s="12"/>
      <c r="B349" s="60"/>
      <c r="C349" s="60"/>
    </row>
    <row r="350">
      <c r="A350" s="12"/>
      <c r="B350" s="60"/>
      <c r="C350" s="60"/>
    </row>
    <row r="351">
      <c r="A351" s="12"/>
      <c r="B351" s="60"/>
      <c r="C351" s="60"/>
    </row>
    <row r="352">
      <c r="A352" s="12"/>
      <c r="B352" s="60"/>
      <c r="C352" s="60"/>
    </row>
    <row r="353">
      <c r="A353" s="12"/>
      <c r="B353" s="60"/>
      <c r="C353" s="60"/>
    </row>
    <row r="354">
      <c r="A354" s="12"/>
      <c r="B354" s="60"/>
      <c r="C354" s="60"/>
    </row>
    <row r="355">
      <c r="A355" s="12"/>
      <c r="B355" s="60"/>
      <c r="C355" s="60"/>
    </row>
    <row r="356">
      <c r="A356" s="12"/>
      <c r="B356" s="60"/>
      <c r="C356" s="60"/>
    </row>
    <row r="357">
      <c r="A357" s="12"/>
      <c r="B357" s="60"/>
      <c r="C357" s="60"/>
    </row>
    <row r="358">
      <c r="A358" s="12"/>
      <c r="B358" s="60"/>
      <c r="C358" s="60"/>
    </row>
    <row r="359">
      <c r="A359" s="12"/>
      <c r="B359" s="60"/>
      <c r="C359" s="60"/>
    </row>
    <row r="360">
      <c r="A360" s="12"/>
      <c r="B360" s="60"/>
      <c r="C360" s="60"/>
    </row>
    <row r="361">
      <c r="A361" s="12"/>
      <c r="B361" s="60"/>
      <c r="C361" s="60"/>
    </row>
    <row r="362">
      <c r="A362" s="12"/>
      <c r="B362" s="60"/>
      <c r="C362" s="60"/>
    </row>
    <row r="363">
      <c r="A363" s="12"/>
      <c r="B363" s="60"/>
      <c r="C363" s="60"/>
    </row>
    <row r="364">
      <c r="A364" s="12"/>
      <c r="B364" s="60"/>
      <c r="C364" s="60"/>
    </row>
    <row r="365">
      <c r="A365" s="12"/>
      <c r="B365" s="60"/>
      <c r="C365" s="60"/>
    </row>
    <row r="366">
      <c r="A366" s="12"/>
      <c r="B366" s="60"/>
      <c r="C366" s="60"/>
    </row>
    <row r="367">
      <c r="A367" s="12"/>
      <c r="B367" s="60"/>
      <c r="C367" s="60"/>
    </row>
    <row r="368">
      <c r="A368" s="12"/>
      <c r="B368" s="60"/>
      <c r="C368" s="60"/>
    </row>
    <row r="369">
      <c r="A369" s="12"/>
      <c r="B369" s="60"/>
      <c r="C369" s="60"/>
    </row>
    <row r="370">
      <c r="A370" s="12"/>
      <c r="B370" s="60"/>
      <c r="C370" s="60"/>
    </row>
    <row r="371">
      <c r="A371" s="12"/>
      <c r="B371" s="60"/>
      <c r="C371" s="60"/>
    </row>
    <row r="372">
      <c r="A372" s="12"/>
      <c r="B372" s="60"/>
      <c r="C372" s="60"/>
    </row>
    <row r="373">
      <c r="A373" s="12"/>
      <c r="B373" s="60"/>
      <c r="C373" s="60"/>
    </row>
    <row r="374">
      <c r="A374" s="12"/>
      <c r="B374" s="60"/>
      <c r="C374" s="60"/>
    </row>
    <row r="375">
      <c r="A375" s="12"/>
      <c r="B375" s="60"/>
      <c r="C375" s="60"/>
    </row>
    <row r="376">
      <c r="A376" s="12"/>
      <c r="B376" s="60"/>
      <c r="C376" s="60"/>
    </row>
    <row r="377">
      <c r="A377" s="12"/>
      <c r="B377" s="60"/>
      <c r="C377" s="60"/>
    </row>
    <row r="378">
      <c r="A378" s="12"/>
      <c r="B378" s="60"/>
      <c r="C378" s="60"/>
    </row>
    <row r="379">
      <c r="A379" s="12"/>
      <c r="B379" s="60"/>
      <c r="C379" s="60"/>
    </row>
    <row r="380">
      <c r="A380" s="12"/>
      <c r="B380" s="60"/>
      <c r="C380" s="60"/>
    </row>
    <row r="381">
      <c r="A381" s="12"/>
      <c r="B381" s="60"/>
      <c r="C381" s="60"/>
    </row>
    <row r="382">
      <c r="A382" s="12"/>
      <c r="B382" s="60"/>
      <c r="C382" s="60"/>
    </row>
    <row r="383">
      <c r="A383" s="12"/>
      <c r="B383" s="60"/>
      <c r="C383" s="60"/>
    </row>
    <row r="384">
      <c r="A384" s="12"/>
      <c r="B384" s="60"/>
      <c r="C384" s="60"/>
    </row>
    <row r="385">
      <c r="A385" s="12"/>
      <c r="B385" s="60"/>
      <c r="C385" s="60"/>
    </row>
    <row r="386">
      <c r="A386" s="12"/>
      <c r="B386" s="60"/>
      <c r="C386" s="60"/>
    </row>
    <row r="387">
      <c r="A387" s="12"/>
      <c r="B387" s="60"/>
      <c r="C387" s="60"/>
    </row>
    <row r="388">
      <c r="A388" s="12"/>
      <c r="B388" s="60"/>
      <c r="C388" s="60"/>
    </row>
    <row r="389">
      <c r="A389" s="12"/>
      <c r="B389" s="60"/>
      <c r="C389" s="60"/>
    </row>
    <row r="390">
      <c r="A390" s="12"/>
      <c r="B390" s="60"/>
      <c r="C390" s="60"/>
    </row>
    <row r="391">
      <c r="A391" s="12"/>
      <c r="B391" s="60"/>
      <c r="C391" s="60"/>
    </row>
    <row r="392">
      <c r="A392" s="12"/>
      <c r="B392" s="60"/>
      <c r="C392" s="60"/>
    </row>
    <row r="393">
      <c r="A393" s="12"/>
      <c r="B393" s="60"/>
      <c r="C393" s="60"/>
    </row>
    <row r="394">
      <c r="A394" s="12"/>
      <c r="B394" s="60"/>
      <c r="C394" s="60"/>
    </row>
    <row r="395">
      <c r="A395" s="12"/>
      <c r="B395" s="60"/>
      <c r="C395" s="60"/>
    </row>
    <row r="396">
      <c r="A396" s="12"/>
      <c r="B396" s="60"/>
      <c r="C396" s="60"/>
    </row>
    <row r="397">
      <c r="A397" s="12"/>
      <c r="B397" s="60"/>
      <c r="C397" s="60"/>
    </row>
    <row r="398">
      <c r="A398" s="12"/>
      <c r="B398" s="60"/>
      <c r="C398" s="60"/>
    </row>
    <row r="399">
      <c r="A399" s="12"/>
      <c r="B399" s="60"/>
      <c r="C399" s="60"/>
    </row>
    <row r="400">
      <c r="A400" s="12"/>
      <c r="B400" s="60"/>
      <c r="C400" s="60"/>
    </row>
    <row r="401">
      <c r="A401" s="12"/>
      <c r="B401" s="60"/>
      <c r="C401" s="60"/>
    </row>
    <row r="402">
      <c r="A402" s="12"/>
      <c r="B402" s="60"/>
      <c r="C402" s="60"/>
    </row>
    <row r="403">
      <c r="A403" s="12"/>
      <c r="B403" s="60"/>
      <c r="C403" s="60"/>
    </row>
    <row r="404">
      <c r="A404" s="12"/>
      <c r="B404" s="60"/>
      <c r="C404" s="60"/>
    </row>
    <row r="405">
      <c r="A405" s="12"/>
      <c r="B405" s="60"/>
      <c r="C405" s="60"/>
    </row>
    <row r="406">
      <c r="A406" s="12"/>
      <c r="B406" s="60"/>
      <c r="C406" s="60"/>
    </row>
    <row r="407">
      <c r="A407" s="12"/>
      <c r="B407" s="60"/>
      <c r="C407" s="60"/>
    </row>
    <row r="408">
      <c r="A408" s="12"/>
      <c r="B408" s="60"/>
      <c r="C408" s="60"/>
    </row>
    <row r="409">
      <c r="A409" s="12"/>
      <c r="B409" s="60"/>
      <c r="C409" s="60"/>
    </row>
    <row r="410">
      <c r="A410" s="12"/>
      <c r="B410" s="60"/>
      <c r="C410" s="60"/>
    </row>
    <row r="411">
      <c r="A411" s="12"/>
      <c r="B411" s="60"/>
      <c r="C411" s="60"/>
    </row>
    <row r="412">
      <c r="A412" s="12"/>
      <c r="B412" s="60"/>
      <c r="C412" s="60"/>
    </row>
    <row r="413">
      <c r="A413" s="12"/>
      <c r="B413" s="60"/>
      <c r="C413" s="60"/>
    </row>
    <row r="414">
      <c r="A414" s="12"/>
      <c r="B414" s="60"/>
      <c r="C414" s="60"/>
    </row>
    <row r="415">
      <c r="A415" s="12"/>
      <c r="B415" s="60"/>
      <c r="C415" s="60"/>
    </row>
    <row r="416">
      <c r="A416" s="12"/>
      <c r="B416" s="60"/>
      <c r="C416" s="60"/>
    </row>
    <row r="417">
      <c r="A417" s="12"/>
      <c r="B417" s="60"/>
      <c r="C417" s="60"/>
    </row>
    <row r="418">
      <c r="A418" s="12"/>
      <c r="B418" s="60"/>
      <c r="C418" s="60"/>
    </row>
    <row r="419">
      <c r="A419" s="12"/>
      <c r="B419" s="60"/>
      <c r="C419" s="60"/>
    </row>
    <row r="420">
      <c r="A420" s="12"/>
      <c r="B420" s="60"/>
      <c r="C420" s="60"/>
    </row>
    <row r="421">
      <c r="A421" s="12"/>
      <c r="B421" s="60"/>
      <c r="C421" s="60"/>
    </row>
    <row r="422">
      <c r="A422" s="12"/>
      <c r="B422" s="60"/>
      <c r="C422" s="60"/>
    </row>
    <row r="423">
      <c r="A423" s="12"/>
      <c r="B423" s="60"/>
      <c r="C423" s="60"/>
    </row>
    <row r="424">
      <c r="A424" s="12"/>
      <c r="B424" s="60"/>
      <c r="C424" s="60"/>
    </row>
    <row r="425">
      <c r="A425" s="12"/>
      <c r="B425" s="60"/>
      <c r="C425" s="60"/>
    </row>
    <row r="426">
      <c r="A426" s="12"/>
      <c r="B426" s="60"/>
      <c r="C426" s="60"/>
    </row>
    <row r="427">
      <c r="A427" s="12"/>
      <c r="B427" s="60"/>
      <c r="C427" s="60"/>
    </row>
    <row r="428">
      <c r="A428" s="12"/>
      <c r="B428" s="60"/>
      <c r="C428" s="60"/>
    </row>
    <row r="429">
      <c r="A429" s="12"/>
      <c r="B429" s="60"/>
      <c r="C429" s="60"/>
    </row>
    <row r="430">
      <c r="A430" s="12"/>
      <c r="B430" s="60"/>
      <c r="C430" s="60"/>
    </row>
    <row r="431">
      <c r="A431" s="12"/>
      <c r="B431" s="60"/>
      <c r="C431" s="60"/>
    </row>
    <row r="432">
      <c r="A432" s="12"/>
      <c r="B432" s="60"/>
      <c r="C432" s="60"/>
    </row>
    <row r="433">
      <c r="A433" s="12"/>
      <c r="B433" s="60"/>
      <c r="C433" s="60"/>
    </row>
    <row r="434">
      <c r="A434" s="12"/>
      <c r="B434" s="60"/>
      <c r="C434" s="60"/>
    </row>
    <row r="435">
      <c r="A435" s="12"/>
      <c r="B435" s="60"/>
      <c r="C435" s="60"/>
    </row>
    <row r="436">
      <c r="A436" s="12"/>
      <c r="B436" s="60"/>
      <c r="C436" s="60"/>
    </row>
    <row r="437">
      <c r="A437" s="12"/>
      <c r="B437" s="60"/>
      <c r="C437" s="60"/>
    </row>
    <row r="438">
      <c r="A438" s="12"/>
      <c r="B438" s="60"/>
      <c r="C438" s="60"/>
    </row>
    <row r="439">
      <c r="A439" s="12"/>
      <c r="B439" s="60"/>
      <c r="C439" s="60"/>
    </row>
    <row r="440">
      <c r="A440" s="12"/>
      <c r="B440" s="60"/>
      <c r="C440" s="60"/>
    </row>
    <row r="441">
      <c r="A441" s="12"/>
      <c r="B441" s="60"/>
      <c r="C441" s="60"/>
    </row>
    <row r="442">
      <c r="A442" s="12"/>
      <c r="B442" s="60"/>
      <c r="C442" s="60"/>
    </row>
    <row r="443">
      <c r="A443" s="12"/>
      <c r="B443" s="60"/>
      <c r="C443" s="60"/>
    </row>
    <row r="444">
      <c r="A444" s="12"/>
      <c r="B444" s="60"/>
      <c r="C444" s="60"/>
    </row>
    <row r="445">
      <c r="A445" s="12"/>
      <c r="B445" s="60"/>
      <c r="C445" s="60"/>
    </row>
    <row r="446">
      <c r="A446" s="12"/>
      <c r="B446" s="60"/>
      <c r="C446" s="60"/>
    </row>
    <row r="447">
      <c r="A447" s="12"/>
      <c r="B447" s="60"/>
      <c r="C447" s="60"/>
    </row>
    <row r="448">
      <c r="A448" s="12"/>
      <c r="B448" s="60"/>
      <c r="C448" s="60"/>
    </row>
    <row r="449">
      <c r="A449" s="12"/>
      <c r="B449" s="60"/>
      <c r="C449" s="60"/>
    </row>
    <row r="450">
      <c r="A450" s="12"/>
      <c r="B450" s="60"/>
      <c r="C450" s="60"/>
    </row>
    <row r="451">
      <c r="A451" s="12"/>
      <c r="B451" s="60"/>
      <c r="C451" s="60"/>
    </row>
    <row r="452">
      <c r="A452" s="12"/>
      <c r="B452" s="60"/>
      <c r="C452" s="60"/>
    </row>
    <row r="453">
      <c r="A453" s="12"/>
      <c r="B453" s="60"/>
      <c r="C453" s="60"/>
    </row>
    <row r="454">
      <c r="A454" s="12"/>
      <c r="B454" s="60"/>
      <c r="C454" s="60"/>
    </row>
    <row r="455">
      <c r="A455" s="12"/>
      <c r="B455" s="60"/>
      <c r="C455" s="60"/>
    </row>
    <row r="456">
      <c r="A456" s="12"/>
      <c r="B456" s="60"/>
      <c r="C456" s="60"/>
    </row>
    <row r="457">
      <c r="A457" s="12"/>
      <c r="B457" s="60"/>
      <c r="C457" s="60"/>
    </row>
    <row r="458">
      <c r="A458" s="12"/>
      <c r="B458" s="60"/>
      <c r="C458" s="60"/>
    </row>
    <row r="459">
      <c r="A459" s="12"/>
      <c r="B459" s="60"/>
      <c r="C459" s="60"/>
    </row>
    <row r="460">
      <c r="A460" s="12"/>
      <c r="B460" s="60"/>
      <c r="C460" s="60"/>
    </row>
    <row r="461">
      <c r="A461" s="12"/>
      <c r="B461" s="60"/>
      <c r="C461" s="60"/>
    </row>
    <row r="462">
      <c r="A462" s="12"/>
      <c r="B462" s="60"/>
      <c r="C462" s="60"/>
    </row>
    <row r="463">
      <c r="A463" s="12"/>
      <c r="B463" s="60"/>
      <c r="C463" s="60"/>
    </row>
    <row r="464">
      <c r="A464" s="12"/>
      <c r="B464" s="60"/>
      <c r="C464" s="60"/>
    </row>
    <row r="465">
      <c r="A465" s="12"/>
      <c r="B465" s="60"/>
      <c r="C465" s="60"/>
    </row>
    <row r="466">
      <c r="A466" s="12"/>
      <c r="B466" s="60"/>
      <c r="C466" s="60"/>
    </row>
    <row r="467">
      <c r="A467" s="12"/>
      <c r="B467" s="60"/>
      <c r="C467" s="60"/>
    </row>
    <row r="468">
      <c r="A468" s="12"/>
      <c r="B468" s="60"/>
      <c r="C468" s="60"/>
    </row>
    <row r="469">
      <c r="A469" s="12"/>
      <c r="B469" s="60"/>
      <c r="C469" s="60"/>
    </row>
    <row r="470">
      <c r="A470" s="12"/>
      <c r="B470" s="60"/>
      <c r="C470" s="60"/>
    </row>
    <row r="471">
      <c r="A471" s="12"/>
      <c r="B471" s="60"/>
      <c r="C471" s="60"/>
    </row>
    <row r="472">
      <c r="A472" s="12"/>
      <c r="B472" s="60"/>
      <c r="C472" s="60"/>
    </row>
    <row r="473">
      <c r="A473" s="12"/>
      <c r="B473" s="60"/>
      <c r="C473" s="60"/>
    </row>
    <row r="474">
      <c r="A474" s="12"/>
      <c r="B474" s="60"/>
      <c r="C474" s="60"/>
    </row>
    <row r="475">
      <c r="A475" s="12"/>
      <c r="B475" s="60"/>
      <c r="C475" s="60"/>
    </row>
    <row r="476">
      <c r="A476" s="12"/>
      <c r="B476" s="60"/>
      <c r="C476" s="60"/>
    </row>
    <row r="477">
      <c r="A477" s="12"/>
      <c r="B477" s="60"/>
      <c r="C477" s="60"/>
    </row>
    <row r="478">
      <c r="A478" s="12"/>
      <c r="B478" s="60"/>
      <c r="C478" s="60"/>
    </row>
    <row r="479">
      <c r="A479" s="12"/>
      <c r="B479" s="60"/>
      <c r="C479" s="60"/>
    </row>
    <row r="480">
      <c r="A480" s="12"/>
      <c r="B480" s="60"/>
      <c r="C480" s="60"/>
    </row>
    <row r="481">
      <c r="A481" s="12"/>
      <c r="B481" s="60"/>
      <c r="C481" s="60"/>
    </row>
    <row r="482">
      <c r="A482" s="12"/>
      <c r="B482" s="60"/>
      <c r="C482" s="60"/>
    </row>
    <row r="483">
      <c r="A483" s="12"/>
      <c r="B483" s="60"/>
      <c r="C483" s="60"/>
    </row>
    <row r="484">
      <c r="A484" s="12"/>
      <c r="B484" s="60"/>
      <c r="C484" s="60"/>
    </row>
    <row r="485">
      <c r="A485" s="12"/>
      <c r="B485" s="60"/>
      <c r="C485" s="60"/>
    </row>
    <row r="486">
      <c r="A486" s="12"/>
      <c r="B486" s="60"/>
      <c r="C486" s="60"/>
    </row>
    <row r="487">
      <c r="A487" s="12"/>
      <c r="B487" s="60"/>
      <c r="C487" s="60"/>
    </row>
    <row r="488">
      <c r="A488" s="12"/>
      <c r="B488" s="60"/>
      <c r="C488" s="60"/>
    </row>
    <row r="489">
      <c r="A489" s="12"/>
      <c r="B489" s="60"/>
      <c r="C489" s="60"/>
    </row>
    <row r="490">
      <c r="A490" s="12"/>
      <c r="B490" s="60"/>
      <c r="C490" s="60"/>
    </row>
    <row r="491">
      <c r="A491" s="12"/>
      <c r="B491" s="60"/>
      <c r="C491" s="60"/>
    </row>
    <row r="492">
      <c r="A492" s="12"/>
      <c r="B492" s="60"/>
      <c r="C492" s="60"/>
    </row>
    <row r="493">
      <c r="A493" s="12"/>
      <c r="B493" s="60"/>
      <c r="C493" s="60"/>
    </row>
    <row r="494">
      <c r="A494" s="12"/>
      <c r="B494" s="60"/>
      <c r="C494" s="60"/>
    </row>
    <row r="495">
      <c r="A495" s="12"/>
      <c r="B495" s="60"/>
      <c r="C495" s="60"/>
    </row>
    <row r="496">
      <c r="A496" s="12"/>
      <c r="B496" s="60"/>
      <c r="C496" s="60"/>
    </row>
    <row r="497">
      <c r="A497" s="12"/>
      <c r="B497" s="60"/>
      <c r="C497" s="60"/>
    </row>
    <row r="498">
      <c r="A498" s="12"/>
      <c r="B498" s="60"/>
      <c r="C498" s="60"/>
    </row>
    <row r="499">
      <c r="A499" s="12"/>
      <c r="B499" s="60"/>
      <c r="C499" s="60"/>
    </row>
    <row r="500">
      <c r="A500" s="12"/>
      <c r="B500" s="60"/>
      <c r="C500" s="60"/>
    </row>
    <row r="501">
      <c r="A501" s="12"/>
      <c r="B501" s="60"/>
      <c r="C501" s="60"/>
    </row>
    <row r="502">
      <c r="A502" s="12"/>
      <c r="B502" s="60"/>
      <c r="C502" s="60"/>
    </row>
    <row r="503">
      <c r="A503" s="12"/>
      <c r="B503" s="60"/>
      <c r="C503" s="60"/>
    </row>
    <row r="504">
      <c r="A504" s="12"/>
      <c r="B504" s="60"/>
      <c r="C504" s="60"/>
    </row>
    <row r="505">
      <c r="A505" s="12"/>
      <c r="B505" s="60"/>
      <c r="C505" s="60"/>
    </row>
    <row r="506">
      <c r="A506" s="12"/>
      <c r="B506" s="60"/>
      <c r="C506" s="60"/>
    </row>
    <row r="507">
      <c r="A507" s="12"/>
      <c r="B507" s="60"/>
      <c r="C507" s="60"/>
    </row>
    <row r="508">
      <c r="A508" s="12"/>
      <c r="B508" s="60"/>
      <c r="C508" s="60"/>
    </row>
    <row r="509">
      <c r="A509" s="12"/>
      <c r="B509" s="60"/>
      <c r="C509" s="60"/>
    </row>
    <row r="510">
      <c r="A510" s="12"/>
      <c r="B510" s="60"/>
      <c r="C510" s="60"/>
    </row>
    <row r="511">
      <c r="A511" s="12"/>
      <c r="B511" s="60"/>
      <c r="C511" s="60"/>
    </row>
    <row r="512">
      <c r="A512" s="12"/>
      <c r="B512" s="60"/>
      <c r="C512" s="60"/>
    </row>
    <row r="513">
      <c r="A513" s="12"/>
      <c r="B513" s="60"/>
      <c r="C513" s="60"/>
    </row>
    <row r="514">
      <c r="A514" s="12"/>
      <c r="B514" s="60"/>
      <c r="C514" s="60"/>
    </row>
    <row r="515">
      <c r="A515" s="12"/>
      <c r="B515" s="60"/>
      <c r="C515" s="60"/>
    </row>
    <row r="516">
      <c r="A516" s="12"/>
      <c r="B516" s="60"/>
      <c r="C516" s="60"/>
    </row>
    <row r="517">
      <c r="A517" s="12"/>
      <c r="B517" s="60"/>
      <c r="C517" s="60"/>
    </row>
    <row r="518">
      <c r="A518" s="12"/>
      <c r="B518" s="60"/>
      <c r="C518" s="60"/>
    </row>
    <row r="519">
      <c r="A519" s="12"/>
      <c r="B519" s="60"/>
      <c r="C519" s="60"/>
    </row>
    <row r="520">
      <c r="A520" s="12"/>
      <c r="B520" s="60"/>
      <c r="C520" s="60"/>
    </row>
    <row r="521">
      <c r="A521" s="12"/>
      <c r="B521" s="60"/>
      <c r="C521" s="60"/>
    </row>
    <row r="522">
      <c r="A522" s="12"/>
      <c r="B522" s="60"/>
      <c r="C522" s="60"/>
    </row>
    <row r="523">
      <c r="A523" s="12"/>
      <c r="B523" s="60"/>
      <c r="C523" s="60"/>
    </row>
    <row r="524">
      <c r="A524" s="12"/>
      <c r="B524" s="60"/>
      <c r="C524" s="60"/>
    </row>
    <row r="525">
      <c r="A525" s="12"/>
      <c r="B525" s="60"/>
      <c r="C525" s="60"/>
    </row>
    <row r="526">
      <c r="A526" s="12"/>
      <c r="B526" s="60"/>
      <c r="C526" s="60"/>
    </row>
    <row r="527">
      <c r="A527" s="12"/>
      <c r="B527" s="60"/>
      <c r="C527" s="60"/>
    </row>
    <row r="528">
      <c r="A528" s="12"/>
      <c r="B528" s="60"/>
      <c r="C528" s="60"/>
    </row>
    <row r="529">
      <c r="A529" s="12"/>
      <c r="B529" s="60"/>
      <c r="C529" s="60"/>
    </row>
    <row r="530">
      <c r="A530" s="12"/>
      <c r="B530" s="60"/>
      <c r="C530" s="60"/>
    </row>
    <row r="531">
      <c r="A531" s="12"/>
      <c r="B531" s="60"/>
      <c r="C531" s="60"/>
    </row>
    <row r="532">
      <c r="A532" s="12"/>
      <c r="B532" s="60"/>
      <c r="C532" s="60"/>
    </row>
    <row r="533">
      <c r="A533" s="12"/>
      <c r="B533" s="60"/>
      <c r="C533" s="60"/>
    </row>
    <row r="534">
      <c r="A534" s="12"/>
      <c r="B534" s="60"/>
      <c r="C534" s="60"/>
    </row>
    <row r="535">
      <c r="A535" s="12"/>
      <c r="B535" s="60"/>
      <c r="C535" s="60"/>
    </row>
    <row r="536">
      <c r="A536" s="12"/>
      <c r="B536" s="60"/>
      <c r="C536" s="60"/>
    </row>
    <row r="537">
      <c r="A537" s="12"/>
      <c r="B537" s="60"/>
      <c r="C537" s="60"/>
    </row>
    <row r="538">
      <c r="A538" s="12"/>
      <c r="B538" s="60"/>
      <c r="C538" s="60"/>
    </row>
    <row r="539">
      <c r="A539" s="12"/>
      <c r="B539" s="60"/>
      <c r="C539" s="60"/>
    </row>
    <row r="540">
      <c r="A540" s="12"/>
      <c r="B540" s="60"/>
      <c r="C540" s="60"/>
    </row>
    <row r="541">
      <c r="A541" s="12"/>
      <c r="B541" s="60"/>
      <c r="C541" s="60"/>
    </row>
    <row r="542">
      <c r="A542" s="12"/>
      <c r="B542" s="60"/>
      <c r="C542" s="60"/>
    </row>
    <row r="543">
      <c r="A543" s="12"/>
      <c r="B543" s="60"/>
      <c r="C543" s="60"/>
    </row>
    <row r="544">
      <c r="A544" s="12"/>
      <c r="B544" s="60"/>
      <c r="C544" s="60"/>
    </row>
    <row r="545">
      <c r="A545" s="12"/>
      <c r="B545" s="60"/>
      <c r="C545" s="60"/>
    </row>
    <row r="546">
      <c r="A546" s="12"/>
      <c r="B546" s="60"/>
      <c r="C546" s="60"/>
    </row>
    <row r="547">
      <c r="A547" s="12"/>
      <c r="B547" s="60"/>
      <c r="C547" s="60"/>
    </row>
    <row r="548">
      <c r="A548" s="12"/>
      <c r="B548" s="60"/>
      <c r="C548" s="60"/>
    </row>
    <row r="549">
      <c r="A549" s="12"/>
      <c r="B549" s="60"/>
      <c r="C549" s="60"/>
    </row>
    <row r="550">
      <c r="A550" s="12"/>
      <c r="B550" s="60"/>
      <c r="C550" s="60"/>
    </row>
    <row r="551">
      <c r="A551" s="12"/>
      <c r="B551" s="60"/>
      <c r="C551" s="60"/>
    </row>
    <row r="552">
      <c r="A552" s="12"/>
      <c r="B552" s="60"/>
      <c r="C552" s="60"/>
    </row>
    <row r="553">
      <c r="A553" s="12"/>
      <c r="B553" s="60"/>
      <c r="C553" s="60"/>
    </row>
    <row r="554">
      <c r="A554" s="12"/>
      <c r="B554" s="60"/>
      <c r="C554" s="60"/>
    </row>
    <row r="555">
      <c r="A555" s="12"/>
      <c r="B555" s="60"/>
      <c r="C555" s="60"/>
    </row>
    <row r="556">
      <c r="A556" s="12"/>
      <c r="B556" s="60"/>
      <c r="C556" s="60"/>
    </row>
    <row r="557">
      <c r="A557" s="12"/>
      <c r="B557" s="60"/>
      <c r="C557" s="60"/>
    </row>
    <row r="558">
      <c r="A558" s="12"/>
      <c r="B558" s="60"/>
      <c r="C558" s="60"/>
    </row>
    <row r="559">
      <c r="A559" s="12"/>
      <c r="B559" s="60"/>
      <c r="C559" s="60"/>
    </row>
    <row r="560">
      <c r="A560" s="12"/>
      <c r="B560" s="60"/>
      <c r="C560" s="60"/>
    </row>
    <row r="561">
      <c r="A561" s="12"/>
      <c r="B561" s="60"/>
      <c r="C561" s="60"/>
    </row>
    <row r="562">
      <c r="A562" s="12"/>
      <c r="B562" s="60"/>
      <c r="C562" s="60"/>
    </row>
    <row r="563">
      <c r="A563" s="12"/>
      <c r="B563" s="60"/>
      <c r="C563" s="60"/>
    </row>
    <row r="564">
      <c r="A564" s="12"/>
      <c r="B564" s="60"/>
      <c r="C564" s="60"/>
    </row>
    <row r="565">
      <c r="A565" s="12"/>
      <c r="B565" s="60"/>
      <c r="C565" s="60"/>
    </row>
    <row r="566">
      <c r="A566" s="12"/>
      <c r="B566" s="60"/>
      <c r="C566" s="60"/>
    </row>
    <row r="567">
      <c r="A567" s="12"/>
      <c r="B567" s="60"/>
      <c r="C567" s="60"/>
    </row>
    <row r="568">
      <c r="A568" s="12"/>
      <c r="B568" s="60"/>
      <c r="C568" s="60"/>
    </row>
    <row r="569">
      <c r="A569" s="12"/>
      <c r="B569" s="60"/>
      <c r="C569" s="60"/>
    </row>
    <row r="570">
      <c r="A570" s="12"/>
      <c r="B570" s="60"/>
      <c r="C570" s="60"/>
    </row>
    <row r="571">
      <c r="A571" s="12"/>
      <c r="B571" s="60"/>
      <c r="C571" s="60"/>
    </row>
    <row r="572">
      <c r="A572" s="12"/>
      <c r="B572" s="60"/>
      <c r="C572" s="60"/>
    </row>
    <row r="573">
      <c r="A573" s="12"/>
      <c r="B573" s="60"/>
      <c r="C573" s="60"/>
    </row>
    <row r="574">
      <c r="A574" s="12"/>
      <c r="B574" s="60"/>
      <c r="C574" s="60"/>
    </row>
    <row r="575">
      <c r="A575" s="12"/>
      <c r="B575" s="60"/>
      <c r="C575" s="60"/>
    </row>
    <row r="576">
      <c r="A576" s="12"/>
      <c r="B576" s="60"/>
      <c r="C576" s="60"/>
    </row>
    <row r="577">
      <c r="A577" s="12"/>
      <c r="B577" s="60"/>
      <c r="C577" s="60"/>
    </row>
    <row r="578">
      <c r="A578" s="12"/>
      <c r="B578" s="60"/>
      <c r="C578" s="60"/>
    </row>
    <row r="579">
      <c r="A579" s="12"/>
      <c r="B579" s="60"/>
      <c r="C579" s="60"/>
    </row>
    <row r="580">
      <c r="A580" s="12"/>
      <c r="B580" s="60"/>
      <c r="C580" s="60"/>
    </row>
    <row r="581">
      <c r="A581" s="12"/>
      <c r="B581" s="60"/>
      <c r="C581" s="60"/>
    </row>
    <row r="582">
      <c r="A582" s="12"/>
      <c r="B582" s="60"/>
      <c r="C582" s="60"/>
    </row>
    <row r="583">
      <c r="A583" s="12"/>
      <c r="B583" s="60"/>
      <c r="C583" s="60"/>
    </row>
    <row r="584">
      <c r="A584" s="12"/>
      <c r="B584" s="60"/>
      <c r="C584" s="60"/>
    </row>
    <row r="585">
      <c r="A585" s="12"/>
      <c r="B585" s="60"/>
      <c r="C585" s="60"/>
    </row>
    <row r="586">
      <c r="A586" s="12"/>
      <c r="B586" s="60"/>
      <c r="C586" s="60"/>
    </row>
    <row r="587">
      <c r="A587" s="12"/>
      <c r="B587" s="60"/>
      <c r="C587" s="60"/>
    </row>
    <row r="588">
      <c r="A588" s="12"/>
      <c r="B588" s="60"/>
      <c r="C588" s="60"/>
    </row>
    <row r="589">
      <c r="A589" s="12"/>
      <c r="B589" s="60"/>
      <c r="C589" s="60"/>
    </row>
    <row r="590">
      <c r="A590" s="12"/>
      <c r="B590" s="60"/>
      <c r="C590" s="60"/>
    </row>
    <row r="591">
      <c r="A591" s="12"/>
      <c r="B591" s="60"/>
      <c r="C591" s="60"/>
    </row>
    <row r="592">
      <c r="A592" s="12"/>
      <c r="B592" s="60"/>
      <c r="C592" s="60"/>
    </row>
    <row r="593">
      <c r="A593" s="12"/>
      <c r="B593" s="60"/>
      <c r="C593" s="60"/>
    </row>
    <row r="594">
      <c r="A594" s="12"/>
      <c r="B594" s="60"/>
      <c r="C594" s="60"/>
    </row>
    <row r="595">
      <c r="A595" s="12"/>
      <c r="B595" s="60"/>
      <c r="C595" s="60"/>
    </row>
    <row r="596">
      <c r="A596" s="12"/>
      <c r="B596" s="60"/>
      <c r="C596" s="60"/>
    </row>
    <row r="597">
      <c r="A597" s="12"/>
      <c r="B597" s="60"/>
      <c r="C597" s="60"/>
    </row>
    <row r="598">
      <c r="A598" s="12"/>
      <c r="B598" s="60"/>
      <c r="C598" s="60"/>
    </row>
    <row r="599">
      <c r="A599" s="12"/>
      <c r="B599" s="60"/>
      <c r="C599" s="60"/>
    </row>
    <row r="600">
      <c r="A600" s="12"/>
      <c r="B600" s="60"/>
      <c r="C600" s="60"/>
    </row>
    <row r="601">
      <c r="A601" s="12"/>
      <c r="B601" s="60"/>
      <c r="C601" s="60"/>
    </row>
    <row r="602">
      <c r="A602" s="12"/>
      <c r="B602" s="60"/>
      <c r="C602" s="60"/>
    </row>
    <row r="603">
      <c r="A603" s="12"/>
      <c r="B603" s="60"/>
      <c r="C603" s="60"/>
    </row>
    <row r="604">
      <c r="A604" s="12"/>
      <c r="B604" s="60"/>
      <c r="C604" s="60"/>
    </row>
    <row r="605">
      <c r="A605" s="12"/>
      <c r="B605" s="60"/>
      <c r="C605" s="60"/>
    </row>
    <row r="606">
      <c r="A606" s="12"/>
      <c r="B606" s="60"/>
      <c r="C606" s="60"/>
    </row>
    <row r="607">
      <c r="A607" s="12"/>
      <c r="B607" s="60"/>
      <c r="C607" s="60"/>
    </row>
    <row r="608">
      <c r="A608" s="12"/>
      <c r="B608" s="60"/>
      <c r="C608" s="60"/>
    </row>
    <row r="609">
      <c r="A609" s="12"/>
      <c r="B609" s="60"/>
      <c r="C609" s="60"/>
    </row>
    <row r="610">
      <c r="A610" s="12"/>
      <c r="B610" s="60"/>
      <c r="C610" s="60"/>
    </row>
    <row r="611">
      <c r="A611" s="12"/>
      <c r="B611" s="60"/>
      <c r="C611" s="60"/>
    </row>
    <row r="612">
      <c r="A612" s="12"/>
      <c r="B612" s="60"/>
      <c r="C612" s="60"/>
    </row>
    <row r="613">
      <c r="A613" s="12"/>
      <c r="B613" s="60"/>
      <c r="C613" s="60"/>
    </row>
    <row r="614">
      <c r="A614" s="12"/>
      <c r="B614" s="60"/>
      <c r="C614" s="60"/>
    </row>
    <row r="615">
      <c r="A615" s="12"/>
      <c r="B615" s="60"/>
      <c r="C615" s="60"/>
    </row>
    <row r="616">
      <c r="A616" s="12"/>
      <c r="B616" s="60"/>
      <c r="C616" s="60"/>
    </row>
    <row r="617">
      <c r="A617" s="12"/>
      <c r="B617" s="60"/>
      <c r="C617" s="60"/>
    </row>
    <row r="618">
      <c r="A618" s="12"/>
      <c r="B618" s="60"/>
      <c r="C618" s="60"/>
    </row>
    <row r="619">
      <c r="A619" s="12"/>
      <c r="B619" s="60"/>
      <c r="C619" s="60"/>
    </row>
    <row r="620">
      <c r="A620" s="12"/>
      <c r="B620" s="60"/>
      <c r="C620" s="60"/>
    </row>
    <row r="621">
      <c r="A621" s="12"/>
      <c r="B621" s="60"/>
      <c r="C621" s="60"/>
    </row>
    <row r="622">
      <c r="A622" s="12"/>
      <c r="B622" s="60"/>
      <c r="C622" s="60"/>
    </row>
    <row r="623">
      <c r="A623" s="12"/>
      <c r="B623" s="60"/>
      <c r="C623" s="60"/>
    </row>
    <row r="624">
      <c r="A624" s="12"/>
      <c r="B624" s="60"/>
      <c r="C624" s="60"/>
    </row>
    <row r="625">
      <c r="A625" s="12"/>
      <c r="B625" s="60"/>
      <c r="C625" s="60"/>
    </row>
    <row r="626">
      <c r="A626" s="12"/>
      <c r="B626" s="60"/>
      <c r="C626" s="60"/>
    </row>
    <row r="627">
      <c r="A627" s="12"/>
      <c r="B627" s="60"/>
      <c r="C627" s="60"/>
    </row>
    <row r="628">
      <c r="A628" s="12"/>
      <c r="B628" s="60"/>
      <c r="C628" s="60"/>
    </row>
    <row r="629">
      <c r="A629" s="12"/>
      <c r="B629" s="60"/>
      <c r="C629" s="60"/>
    </row>
    <row r="630">
      <c r="A630" s="12"/>
      <c r="B630" s="60"/>
      <c r="C630" s="60"/>
    </row>
    <row r="631">
      <c r="A631" s="12"/>
      <c r="B631" s="60"/>
      <c r="C631" s="60"/>
    </row>
    <row r="632">
      <c r="A632" s="12"/>
      <c r="B632" s="60"/>
      <c r="C632" s="60"/>
    </row>
    <row r="633">
      <c r="A633" s="12"/>
      <c r="B633" s="60"/>
      <c r="C633" s="60"/>
    </row>
    <row r="634">
      <c r="A634" s="12"/>
      <c r="B634" s="60"/>
      <c r="C634" s="60"/>
    </row>
    <row r="635">
      <c r="A635" s="12"/>
      <c r="B635" s="60"/>
      <c r="C635" s="60"/>
    </row>
    <row r="636">
      <c r="A636" s="12"/>
      <c r="B636" s="60"/>
      <c r="C636" s="60"/>
    </row>
    <row r="637">
      <c r="A637" s="12"/>
      <c r="B637" s="60"/>
      <c r="C637" s="60"/>
    </row>
    <row r="638">
      <c r="A638" s="12"/>
      <c r="B638" s="60"/>
      <c r="C638" s="60"/>
    </row>
    <row r="639">
      <c r="A639" s="12"/>
      <c r="B639" s="60"/>
      <c r="C639" s="60"/>
    </row>
    <row r="640">
      <c r="A640" s="12"/>
      <c r="B640" s="60"/>
      <c r="C640" s="60"/>
    </row>
    <row r="641">
      <c r="A641" s="12"/>
      <c r="B641" s="60"/>
      <c r="C641" s="60"/>
    </row>
    <row r="642">
      <c r="A642" s="12"/>
      <c r="B642" s="60"/>
      <c r="C642" s="60"/>
    </row>
    <row r="643">
      <c r="A643" s="12"/>
      <c r="B643" s="60"/>
      <c r="C643" s="60"/>
    </row>
    <row r="644">
      <c r="A644" s="12"/>
      <c r="B644" s="60"/>
      <c r="C644" s="60"/>
    </row>
    <row r="645">
      <c r="A645" s="12"/>
      <c r="B645" s="60"/>
      <c r="C645" s="60"/>
    </row>
    <row r="646">
      <c r="A646" s="12"/>
      <c r="B646" s="60"/>
      <c r="C646" s="60"/>
    </row>
    <row r="647">
      <c r="A647" s="12"/>
      <c r="B647" s="60"/>
      <c r="C647" s="60"/>
    </row>
    <row r="648">
      <c r="A648" s="12"/>
      <c r="B648" s="60"/>
      <c r="C648" s="60"/>
    </row>
    <row r="649">
      <c r="A649" s="12"/>
      <c r="B649" s="60"/>
      <c r="C649" s="60"/>
    </row>
    <row r="650">
      <c r="A650" s="12"/>
      <c r="B650" s="60"/>
      <c r="C650" s="60"/>
    </row>
    <row r="651">
      <c r="A651" s="12"/>
      <c r="B651" s="60"/>
      <c r="C651" s="60"/>
    </row>
    <row r="652">
      <c r="A652" s="12"/>
      <c r="B652" s="60"/>
      <c r="C652" s="60"/>
    </row>
    <row r="653">
      <c r="A653" s="12"/>
      <c r="B653" s="60"/>
      <c r="C653" s="60"/>
    </row>
    <row r="654">
      <c r="A654" s="12"/>
      <c r="B654" s="60"/>
      <c r="C654" s="60"/>
    </row>
    <row r="655">
      <c r="A655" s="12"/>
      <c r="B655" s="60"/>
      <c r="C655" s="60"/>
    </row>
    <row r="656">
      <c r="A656" s="12"/>
      <c r="B656" s="60"/>
      <c r="C656" s="60"/>
    </row>
    <row r="657">
      <c r="A657" s="12"/>
      <c r="B657" s="60"/>
      <c r="C657" s="60"/>
    </row>
    <row r="658">
      <c r="A658" s="12"/>
      <c r="B658" s="60"/>
      <c r="C658" s="60"/>
    </row>
    <row r="659">
      <c r="A659" s="12"/>
      <c r="B659" s="60"/>
      <c r="C659" s="60"/>
    </row>
    <row r="660">
      <c r="A660" s="12"/>
      <c r="B660" s="60"/>
      <c r="C660" s="60"/>
    </row>
    <row r="661">
      <c r="A661" s="12"/>
      <c r="B661" s="60"/>
      <c r="C661" s="60"/>
    </row>
    <row r="662">
      <c r="A662" s="12"/>
      <c r="B662" s="60"/>
      <c r="C662" s="60"/>
    </row>
    <row r="663">
      <c r="A663" s="12"/>
      <c r="B663" s="60"/>
      <c r="C663" s="60"/>
    </row>
    <row r="664">
      <c r="A664" s="12"/>
      <c r="B664" s="60"/>
      <c r="C664" s="60"/>
    </row>
    <row r="665">
      <c r="A665" s="12"/>
      <c r="B665" s="60"/>
      <c r="C665" s="60"/>
    </row>
    <row r="666">
      <c r="A666" s="12"/>
      <c r="B666" s="60"/>
      <c r="C666" s="60"/>
    </row>
    <row r="667">
      <c r="A667" s="12"/>
      <c r="B667" s="60"/>
      <c r="C667" s="60"/>
    </row>
    <row r="668">
      <c r="A668" s="12"/>
      <c r="B668" s="60"/>
      <c r="C668" s="60"/>
    </row>
    <row r="669">
      <c r="A669" s="12"/>
      <c r="B669" s="60"/>
      <c r="C669" s="60"/>
    </row>
    <row r="670">
      <c r="A670" s="12"/>
      <c r="B670" s="60"/>
      <c r="C670" s="60"/>
    </row>
    <row r="671">
      <c r="A671" s="12"/>
      <c r="B671" s="60"/>
      <c r="C671" s="60"/>
    </row>
    <row r="672">
      <c r="A672" s="12"/>
      <c r="B672" s="60"/>
      <c r="C672" s="60"/>
    </row>
    <row r="673">
      <c r="A673" s="12"/>
      <c r="B673" s="60"/>
      <c r="C673" s="60"/>
    </row>
    <row r="674">
      <c r="A674" s="12"/>
      <c r="B674" s="60"/>
      <c r="C674" s="60"/>
    </row>
    <row r="675">
      <c r="A675" s="12"/>
      <c r="B675" s="60"/>
      <c r="C675" s="60"/>
    </row>
    <row r="676">
      <c r="A676" s="12"/>
      <c r="B676" s="60"/>
      <c r="C676" s="60"/>
    </row>
    <row r="677">
      <c r="A677" s="12"/>
      <c r="B677" s="60"/>
      <c r="C677" s="60"/>
    </row>
    <row r="678">
      <c r="A678" s="12"/>
      <c r="B678" s="60"/>
      <c r="C678" s="60"/>
    </row>
    <row r="679">
      <c r="A679" s="12"/>
      <c r="B679" s="60"/>
      <c r="C679" s="60"/>
    </row>
    <row r="680">
      <c r="A680" s="12"/>
      <c r="B680" s="60"/>
      <c r="C680" s="60"/>
    </row>
    <row r="681">
      <c r="A681" s="12"/>
      <c r="B681" s="60"/>
      <c r="C681" s="60"/>
    </row>
    <row r="682">
      <c r="A682" s="12"/>
      <c r="B682" s="60"/>
      <c r="C682" s="60"/>
    </row>
    <row r="683">
      <c r="A683" s="12"/>
      <c r="B683" s="60"/>
      <c r="C683" s="60"/>
    </row>
    <row r="684">
      <c r="A684" s="12"/>
      <c r="B684" s="60"/>
      <c r="C684" s="60"/>
    </row>
    <row r="685">
      <c r="A685" s="12"/>
      <c r="B685" s="60"/>
      <c r="C685" s="60"/>
    </row>
    <row r="686">
      <c r="A686" s="12"/>
      <c r="B686" s="60"/>
      <c r="C686" s="60"/>
    </row>
    <row r="687">
      <c r="A687" s="12"/>
      <c r="B687" s="60"/>
      <c r="C687" s="60"/>
    </row>
    <row r="688">
      <c r="A688" s="12"/>
      <c r="B688" s="60"/>
      <c r="C688" s="60"/>
    </row>
    <row r="689">
      <c r="A689" s="12"/>
      <c r="B689" s="60"/>
      <c r="C689" s="60"/>
    </row>
    <row r="690">
      <c r="A690" s="12"/>
      <c r="B690" s="60"/>
      <c r="C690" s="60"/>
    </row>
    <row r="691">
      <c r="A691" s="12"/>
      <c r="B691" s="60"/>
      <c r="C691" s="60"/>
    </row>
    <row r="692">
      <c r="A692" s="12"/>
      <c r="B692" s="60"/>
      <c r="C692" s="60"/>
    </row>
    <row r="693">
      <c r="A693" s="12"/>
      <c r="B693" s="60"/>
      <c r="C693" s="60"/>
    </row>
    <row r="694">
      <c r="A694" s="12"/>
      <c r="B694" s="60"/>
      <c r="C694" s="60"/>
    </row>
    <row r="695">
      <c r="A695" s="12"/>
      <c r="B695" s="60"/>
      <c r="C695" s="60"/>
    </row>
    <row r="696">
      <c r="A696" s="12"/>
      <c r="B696" s="60"/>
      <c r="C696" s="60"/>
    </row>
    <row r="697">
      <c r="A697" s="12"/>
      <c r="B697" s="60"/>
      <c r="C697" s="60"/>
    </row>
    <row r="698">
      <c r="A698" s="12"/>
      <c r="B698" s="60"/>
      <c r="C698" s="60"/>
    </row>
    <row r="699">
      <c r="A699" s="12"/>
      <c r="B699" s="60"/>
      <c r="C699" s="60"/>
    </row>
    <row r="700">
      <c r="A700" s="12"/>
      <c r="B700" s="60"/>
      <c r="C700" s="60"/>
    </row>
    <row r="701">
      <c r="A701" s="12"/>
      <c r="B701" s="60"/>
      <c r="C701" s="60"/>
    </row>
    <row r="702">
      <c r="A702" s="12"/>
      <c r="B702" s="60"/>
      <c r="C702" s="60"/>
    </row>
    <row r="703">
      <c r="A703" s="12"/>
      <c r="B703" s="60"/>
      <c r="C703" s="60"/>
    </row>
    <row r="704">
      <c r="A704" s="12"/>
      <c r="B704" s="60"/>
      <c r="C704" s="60"/>
    </row>
    <row r="705">
      <c r="A705" s="12"/>
      <c r="B705" s="60"/>
      <c r="C705" s="60"/>
    </row>
    <row r="706">
      <c r="A706" s="12"/>
      <c r="B706" s="60"/>
      <c r="C706" s="60"/>
    </row>
    <row r="707">
      <c r="A707" s="12"/>
      <c r="B707" s="60"/>
      <c r="C707" s="60"/>
    </row>
    <row r="708">
      <c r="A708" s="12"/>
      <c r="B708" s="60"/>
      <c r="C708" s="60"/>
    </row>
    <row r="709">
      <c r="A709" s="12"/>
      <c r="B709" s="60"/>
      <c r="C709" s="60"/>
    </row>
    <row r="710">
      <c r="A710" s="12"/>
      <c r="B710" s="60"/>
      <c r="C710" s="60"/>
    </row>
    <row r="711">
      <c r="A711" s="12"/>
      <c r="B711" s="60"/>
      <c r="C711" s="60"/>
    </row>
    <row r="712">
      <c r="A712" s="12"/>
      <c r="B712" s="60"/>
      <c r="C712" s="60"/>
    </row>
    <row r="713">
      <c r="A713" s="12"/>
      <c r="B713" s="60"/>
      <c r="C713" s="60"/>
    </row>
    <row r="714">
      <c r="A714" s="12"/>
      <c r="B714" s="60"/>
      <c r="C714" s="60"/>
    </row>
    <row r="715">
      <c r="A715" s="12"/>
      <c r="B715" s="60"/>
      <c r="C715" s="60"/>
    </row>
    <row r="716">
      <c r="A716" s="12"/>
      <c r="B716" s="60"/>
      <c r="C716" s="60"/>
    </row>
    <row r="717">
      <c r="A717" s="12"/>
      <c r="B717" s="60"/>
      <c r="C717" s="60"/>
    </row>
    <row r="718">
      <c r="A718" s="12"/>
      <c r="B718" s="60"/>
      <c r="C718" s="60"/>
    </row>
    <row r="719">
      <c r="A719" s="12"/>
      <c r="B719" s="60"/>
      <c r="C719" s="60"/>
    </row>
    <row r="720">
      <c r="A720" s="12"/>
      <c r="B720" s="60"/>
      <c r="C720" s="60"/>
    </row>
    <row r="721">
      <c r="A721" s="12"/>
      <c r="B721" s="60"/>
      <c r="C721" s="60"/>
    </row>
    <row r="722">
      <c r="A722" s="12"/>
      <c r="B722" s="60"/>
      <c r="C722" s="60"/>
    </row>
    <row r="723">
      <c r="A723" s="12"/>
      <c r="B723" s="60"/>
      <c r="C723" s="60"/>
    </row>
    <row r="724">
      <c r="A724" s="12"/>
      <c r="B724" s="60"/>
      <c r="C724" s="60"/>
    </row>
    <row r="725">
      <c r="A725" s="12"/>
      <c r="B725" s="60"/>
      <c r="C725" s="60"/>
    </row>
    <row r="726">
      <c r="A726" s="12"/>
      <c r="B726" s="60"/>
      <c r="C726" s="60"/>
    </row>
    <row r="727">
      <c r="A727" s="12"/>
      <c r="B727" s="60"/>
      <c r="C727" s="60"/>
    </row>
    <row r="728">
      <c r="A728" s="12"/>
      <c r="B728" s="60"/>
      <c r="C728" s="60"/>
    </row>
    <row r="729">
      <c r="A729" s="12"/>
      <c r="B729" s="60"/>
      <c r="C729" s="60"/>
    </row>
    <row r="730">
      <c r="A730" s="12"/>
      <c r="B730" s="60"/>
      <c r="C730" s="60"/>
    </row>
    <row r="731">
      <c r="A731" s="12"/>
      <c r="B731" s="60"/>
      <c r="C731" s="60"/>
    </row>
    <row r="732">
      <c r="A732" s="12"/>
      <c r="B732" s="60"/>
      <c r="C732" s="60"/>
    </row>
    <row r="733">
      <c r="A733" s="12"/>
      <c r="B733" s="60"/>
      <c r="C733" s="60"/>
    </row>
    <row r="734">
      <c r="A734" s="12"/>
      <c r="B734" s="60"/>
      <c r="C734" s="60"/>
    </row>
    <row r="735">
      <c r="A735" s="12"/>
      <c r="B735" s="60"/>
      <c r="C735" s="60"/>
    </row>
    <row r="736">
      <c r="A736" s="12"/>
      <c r="B736" s="60"/>
      <c r="C736" s="60"/>
    </row>
    <row r="737">
      <c r="A737" s="12"/>
      <c r="B737" s="60"/>
      <c r="C737" s="60"/>
    </row>
    <row r="738">
      <c r="A738" s="12"/>
      <c r="B738" s="60"/>
      <c r="C738" s="60"/>
    </row>
    <row r="739">
      <c r="A739" s="12"/>
      <c r="B739" s="60"/>
      <c r="C739" s="60"/>
    </row>
    <row r="740">
      <c r="A740" s="12"/>
      <c r="B740" s="60"/>
      <c r="C740" s="60"/>
    </row>
    <row r="741">
      <c r="A741" s="12"/>
      <c r="B741" s="60"/>
      <c r="C741" s="60"/>
    </row>
    <row r="742">
      <c r="A742" s="12"/>
      <c r="B742" s="60"/>
      <c r="C742" s="60"/>
    </row>
    <row r="743">
      <c r="A743" s="12"/>
      <c r="B743" s="60"/>
      <c r="C743" s="60"/>
    </row>
    <row r="744">
      <c r="A744" s="12"/>
      <c r="B744" s="60"/>
      <c r="C744" s="60"/>
    </row>
    <row r="745">
      <c r="A745" s="12"/>
      <c r="B745" s="60"/>
      <c r="C745" s="60"/>
    </row>
    <row r="746">
      <c r="A746" s="12"/>
      <c r="B746" s="60"/>
      <c r="C746" s="60"/>
    </row>
    <row r="747">
      <c r="A747" s="12"/>
      <c r="B747" s="60"/>
      <c r="C747" s="60"/>
    </row>
    <row r="748">
      <c r="A748" s="12"/>
      <c r="B748" s="60"/>
      <c r="C748" s="60"/>
    </row>
    <row r="749">
      <c r="A749" s="12"/>
      <c r="B749" s="60"/>
      <c r="C749" s="60"/>
    </row>
    <row r="750">
      <c r="A750" s="12"/>
      <c r="B750" s="60"/>
      <c r="C750" s="60"/>
    </row>
    <row r="751">
      <c r="A751" s="12"/>
      <c r="B751" s="60"/>
      <c r="C751" s="60"/>
    </row>
    <row r="752">
      <c r="A752" s="12"/>
      <c r="B752" s="60"/>
      <c r="C752" s="60"/>
    </row>
    <row r="753">
      <c r="A753" s="12"/>
      <c r="B753" s="60"/>
      <c r="C753" s="60"/>
    </row>
    <row r="754">
      <c r="A754" s="12"/>
      <c r="B754" s="60"/>
      <c r="C754" s="60"/>
    </row>
    <row r="755">
      <c r="A755" s="12"/>
      <c r="B755" s="60"/>
      <c r="C755" s="60"/>
    </row>
    <row r="756">
      <c r="A756" s="12"/>
      <c r="B756" s="60"/>
      <c r="C756" s="60"/>
    </row>
    <row r="757">
      <c r="A757" s="12"/>
      <c r="B757" s="60"/>
      <c r="C757" s="60"/>
    </row>
    <row r="758">
      <c r="A758" s="12"/>
      <c r="B758" s="60"/>
      <c r="C758" s="60"/>
    </row>
    <row r="759">
      <c r="A759" s="12"/>
      <c r="B759" s="60"/>
      <c r="C759" s="60"/>
    </row>
    <row r="760">
      <c r="A760" s="12"/>
      <c r="B760" s="60"/>
      <c r="C760" s="60"/>
    </row>
    <row r="761">
      <c r="A761" s="12"/>
      <c r="B761" s="60"/>
      <c r="C761" s="60"/>
    </row>
    <row r="762">
      <c r="A762" s="12"/>
      <c r="B762" s="60"/>
      <c r="C762" s="60"/>
    </row>
    <row r="763">
      <c r="A763" s="12"/>
      <c r="B763" s="60"/>
      <c r="C763" s="60"/>
    </row>
    <row r="764">
      <c r="A764" s="12"/>
      <c r="B764" s="60"/>
      <c r="C764" s="60"/>
    </row>
    <row r="765">
      <c r="A765" s="12"/>
      <c r="B765" s="60"/>
      <c r="C765" s="60"/>
    </row>
    <row r="766">
      <c r="A766" s="12"/>
      <c r="B766" s="60"/>
      <c r="C766" s="60"/>
    </row>
    <row r="767">
      <c r="A767" s="12"/>
      <c r="B767" s="60"/>
      <c r="C767" s="60"/>
    </row>
    <row r="768">
      <c r="A768" s="12"/>
      <c r="B768" s="60"/>
      <c r="C768" s="60"/>
    </row>
    <row r="769">
      <c r="A769" s="12"/>
      <c r="B769" s="60"/>
      <c r="C769" s="60"/>
    </row>
    <row r="770">
      <c r="A770" s="12"/>
      <c r="B770" s="60"/>
      <c r="C770" s="60"/>
    </row>
    <row r="771">
      <c r="A771" s="12"/>
      <c r="B771" s="60"/>
      <c r="C771" s="60"/>
    </row>
    <row r="772">
      <c r="A772" s="12"/>
      <c r="B772" s="60"/>
      <c r="C772" s="60"/>
    </row>
    <row r="773">
      <c r="A773" s="12"/>
      <c r="B773" s="60"/>
      <c r="C773" s="60"/>
    </row>
    <row r="774">
      <c r="A774" s="12"/>
      <c r="B774" s="60"/>
      <c r="C774" s="60"/>
    </row>
    <row r="775">
      <c r="A775" s="12"/>
      <c r="B775" s="60"/>
      <c r="C775" s="60"/>
    </row>
    <row r="776">
      <c r="A776" s="12"/>
      <c r="B776" s="60"/>
      <c r="C776" s="60"/>
    </row>
    <row r="777">
      <c r="A777" s="12"/>
      <c r="B777" s="60"/>
      <c r="C777" s="60"/>
    </row>
    <row r="778">
      <c r="A778" s="12"/>
      <c r="B778" s="60"/>
      <c r="C778" s="60"/>
    </row>
    <row r="779">
      <c r="A779" s="12"/>
      <c r="B779" s="60"/>
      <c r="C779" s="60"/>
    </row>
    <row r="780">
      <c r="A780" s="12"/>
      <c r="B780" s="60"/>
      <c r="C780" s="60"/>
    </row>
    <row r="781">
      <c r="A781" s="12"/>
      <c r="B781" s="60"/>
      <c r="C781" s="60"/>
    </row>
    <row r="782">
      <c r="A782" s="12"/>
      <c r="B782" s="60"/>
      <c r="C782" s="60"/>
    </row>
    <row r="783">
      <c r="A783" s="12"/>
      <c r="B783" s="60"/>
      <c r="C783" s="60"/>
    </row>
    <row r="784">
      <c r="A784" s="12"/>
      <c r="B784" s="60"/>
      <c r="C784" s="60"/>
    </row>
    <row r="785">
      <c r="A785" s="12"/>
      <c r="B785" s="60"/>
      <c r="C785" s="60"/>
    </row>
    <row r="786">
      <c r="A786" s="12"/>
      <c r="B786" s="60"/>
      <c r="C786" s="60"/>
    </row>
    <row r="787">
      <c r="A787" s="12"/>
      <c r="B787" s="60"/>
      <c r="C787" s="60"/>
    </row>
    <row r="788">
      <c r="A788" s="12"/>
      <c r="B788" s="60"/>
      <c r="C788" s="60"/>
    </row>
    <row r="789">
      <c r="A789" s="12"/>
      <c r="B789" s="60"/>
      <c r="C789" s="60"/>
    </row>
    <row r="790">
      <c r="A790" s="12"/>
      <c r="B790" s="60"/>
      <c r="C790" s="60"/>
    </row>
    <row r="791">
      <c r="A791" s="12"/>
      <c r="B791" s="60"/>
      <c r="C791" s="60"/>
    </row>
    <row r="792">
      <c r="A792" s="12"/>
      <c r="B792" s="60"/>
      <c r="C792" s="60"/>
    </row>
    <row r="793">
      <c r="A793" s="12"/>
      <c r="B793" s="60"/>
      <c r="C793" s="60"/>
    </row>
    <row r="794">
      <c r="A794" s="12"/>
      <c r="B794" s="60"/>
      <c r="C794" s="60"/>
    </row>
    <row r="795">
      <c r="A795" s="12"/>
      <c r="B795" s="60"/>
      <c r="C795" s="60"/>
    </row>
    <row r="796">
      <c r="A796" s="12"/>
      <c r="B796" s="60"/>
      <c r="C796" s="60"/>
    </row>
    <row r="797">
      <c r="A797" s="12"/>
      <c r="B797" s="60"/>
      <c r="C797" s="60"/>
    </row>
    <row r="798">
      <c r="A798" s="12"/>
      <c r="B798" s="60"/>
      <c r="C798" s="60"/>
    </row>
    <row r="799">
      <c r="A799" s="12"/>
      <c r="B799" s="60"/>
      <c r="C799" s="60"/>
    </row>
    <row r="800">
      <c r="A800" s="12"/>
      <c r="B800" s="60"/>
      <c r="C800" s="60"/>
    </row>
    <row r="801">
      <c r="A801" s="12"/>
      <c r="B801" s="60"/>
      <c r="C801" s="60"/>
    </row>
    <row r="802">
      <c r="A802" s="12"/>
      <c r="B802" s="60"/>
      <c r="C802" s="60"/>
    </row>
    <row r="803">
      <c r="A803" s="12"/>
      <c r="B803" s="60"/>
      <c r="C803" s="60"/>
    </row>
    <row r="804">
      <c r="A804" s="12"/>
      <c r="B804" s="60"/>
      <c r="C804" s="60"/>
    </row>
    <row r="805">
      <c r="A805" s="12"/>
      <c r="B805" s="60"/>
      <c r="C805" s="60"/>
    </row>
    <row r="806">
      <c r="A806" s="12"/>
      <c r="B806" s="60"/>
      <c r="C806" s="60"/>
    </row>
    <row r="807">
      <c r="A807" s="12"/>
      <c r="B807" s="60"/>
      <c r="C807" s="60"/>
    </row>
    <row r="808">
      <c r="A808" s="12"/>
      <c r="B808" s="60"/>
      <c r="C808" s="60"/>
    </row>
    <row r="809">
      <c r="A809" s="12"/>
      <c r="B809" s="60"/>
      <c r="C809" s="60"/>
    </row>
    <row r="810">
      <c r="A810" s="12"/>
      <c r="B810" s="60"/>
      <c r="C810" s="60"/>
    </row>
    <row r="811">
      <c r="A811" s="12"/>
      <c r="B811" s="60"/>
      <c r="C811" s="60"/>
    </row>
    <row r="812">
      <c r="A812" s="12"/>
      <c r="B812" s="60"/>
      <c r="C812" s="60"/>
    </row>
    <row r="813">
      <c r="A813" s="12"/>
      <c r="B813" s="60"/>
      <c r="C813" s="60"/>
    </row>
    <row r="814">
      <c r="A814" s="12"/>
      <c r="B814" s="60"/>
      <c r="C814" s="60"/>
    </row>
    <row r="815">
      <c r="A815" s="12"/>
      <c r="B815" s="60"/>
      <c r="C815" s="60"/>
    </row>
    <row r="816">
      <c r="A816" s="12"/>
      <c r="B816" s="60"/>
      <c r="C816" s="60"/>
    </row>
    <row r="817">
      <c r="A817" s="12"/>
      <c r="B817" s="60"/>
      <c r="C817" s="60"/>
    </row>
    <row r="818">
      <c r="A818" s="12"/>
      <c r="B818" s="60"/>
      <c r="C818" s="60"/>
    </row>
    <row r="819">
      <c r="A819" s="12"/>
      <c r="B819" s="60"/>
      <c r="C819" s="60"/>
    </row>
    <row r="820">
      <c r="A820" s="12"/>
      <c r="B820" s="60"/>
      <c r="C820" s="60"/>
    </row>
    <row r="821">
      <c r="A821" s="12"/>
      <c r="B821" s="60"/>
      <c r="C821" s="60"/>
    </row>
    <row r="822">
      <c r="A822" s="12"/>
      <c r="B822" s="60"/>
      <c r="C822" s="60"/>
    </row>
    <row r="823">
      <c r="A823" s="12"/>
      <c r="B823" s="60"/>
      <c r="C823" s="60"/>
    </row>
    <row r="824">
      <c r="A824" s="12"/>
      <c r="B824" s="60"/>
      <c r="C824" s="60"/>
    </row>
    <row r="825">
      <c r="A825" s="12"/>
      <c r="B825" s="60"/>
      <c r="C825" s="60"/>
    </row>
    <row r="826">
      <c r="A826" s="12"/>
      <c r="B826" s="60"/>
      <c r="C826" s="60"/>
    </row>
    <row r="827">
      <c r="A827" s="12"/>
      <c r="B827" s="60"/>
      <c r="C827" s="60"/>
    </row>
    <row r="828">
      <c r="A828" s="12"/>
      <c r="B828" s="60"/>
      <c r="C828" s="60"/>
    </row>
    <row r="829">
      <c r="A829" s="12"/>
      <c r="B829" s="60"/>
      <c r="C829" s="60"/>
    </row>
    <row r="830">
      <c r="A830" s="12"/>
      <c r="B830" s="60"/>
      <c r="C830" s="60"/>
    </row>
    <row r="831">
      <c r="A831" s="12"/>
      <c r="B831" s="60"/>
      <c r="C831" s="60"/>
    </row>
    <row r="832">
      <c r="A832" s="12"/>
      <c r="B832" s="60"/>
      <c r="C832" s="60"/>
    </row>
    <row r="833">
      <c r="A833" s="12"/>
      <c r="B833" s="60"/>
      <c r="C833" s="60"/>
    </row>
    <row r="834">
      <c r="A834" s="12"/>
      <c r="B834" s="60"/>
      <c r="C834" s="60"/>
    </row>
    <row r="835">
      <c r="A835" s="12"/>
      <c r="B835" s="60"/>
      <c r="C835" s="60"/>
    </row>
    <row r="836">
      <c r="A836" s="12"/>
      <c r="B836" s="60"/>
      <c r="C836" s="60"/>
    </row>
    <row r="837">
      <c r="A837" s="12"/>
      <c r="B837" s="60"/>
      <c r="C837" s="60"/>
    </row>
    <row r="838">
      <c r="A838" s="12"/>
      <c r="B838" s="60"/>
      <c r="C838" s="60"/>
    </row>
    <row r="839">
      <c r="A839" s="12"/>
      <c r="B839" s="60"/>
      <c r="C839" s="60"/>
    </row>
    <row r="840">
      <c r="A840" s="12"/>
      <c r="B840" s="60"/>
      <c r="C840" s="60"/>
    </row>
    <row r="841">
      <c r="A841" s="12"/>
      <c r="B841" s="60"/>
      <c r="C841" s="60"/>
    </row>
    <row r="842">
      <c r="A842" s="12"/>
      <c r="B842" s="60"/>
      <c r="C842" s="60"/>
    </row>
    <row r="843">
      <c r="A843" s="12"/>
      <c r="B843" s="60"/>
      <c r="C843" s="60"/>
    </row>
    <row r="844">
      <c r="A844" s="12"/>
      <c r="B844" s="60"/>
      <c r="C844" s="60"/>
    </row>
    <row r="845">
      <c r="A845" s="12"/>
      <c r="B845" s="60"/>
      <c r="C845" s="60"/>
    </row>
    <row r="846">
      <c r="A846" s="12"/>
      <c r="B846" s="60"/>
      <c r="C846" s="60"/>
    </row>
    <row r="847">
      <c r="A847" s="12"/>
      <c r="B847" s="60"/>
      <c r="C847" s="60"/>
    </row>
    <row r="848">
      <c r="A848" s="12"/>
      <c r="B848" s="60"/>
      <c r="C848" s="60"/>
    </row>
    <row r="849">
      <c r="A849" s="12"/>
      <c r="B849" s="60"/>
      <c r="C849" s="60"/>
    </row>
    <row r="850">
      <c r="A850" s="12"/>
      <c r="B850" s="60"/>
      <c r="C850" s="60"/>
    </row>
    <row r="851">
      <c r="A851" s="12"/>
      <c r="B851" s="60"/>
      <c r="C851" s="60"/>
    </row>
    <row r="852">
      <c r="A852" s="12"/>
      <c r="B852" s="60"/>
      <c r="C852" s="60"/>
    </row>
    <row r="853">
      <c r="A853" s="12"/>
      <c r="B853" s="60"/>
      <c r="C853" s="60"/>
    </row>
    <row r="854">
      <c r="A854" s="12"/>
      <c r="B854" s="60"/>
      <c r="C854" s="60"/>
    </row>
    <row r="855">
      <c r="A855" s="12"/>
      <c r="B855" s="60"/>
      <c r="C855" s="60"/>
    </row>
    <row r="856">
      <c r="A856" s="12"/>
      <c r="B856" s="60"/>
      <c r="C856" s="60"/>
    </row>
    <row r="857">
      <c r="A857" s="12"/>
      <c r="B857" s="60"/>
      <c r="C857" s="60"/>
    </row>
    <row r="858">
      <c r="A858" s="12"/>
      <c r="B858" s="60"/>
      <c r="C858" s="60"/>
    </row>
    <row r="859">
      <c r="A859" s="12"/>
      <c r="B859" s="60"/>
      <c r="C859" s="60"/>
    </row>
    <row r="860">
      <c r="A860" s="12"/>
      <c r="B860" s="60"/>
      <c r="C860" s="60"/>
    </row>
    <row r="861">
      <c r="A861" s="12"/>
      <c r="B861" s="60"/>
      <c r="C861" s="60"/>
    </row>
    <row r="862">
      <c r="A862" s="12"/>
      <c r="B862" s="60"/>
      <c r="C862" s="60"/>
    </row>
    <row r="863">
      <c r="A863" s="12"/>
      <c r="B863" s="60"/>
      <c r="C863" s="60"/>
    </row>
    <row r="864">
      <c r="A864" s="12"/>
      <c r="B864" s="60"/>
      <c r="C864" s="60"/>
    </row>
    <row r="865">
      <c r="A865" s="12"/>
      <c r="B865" s="60"/>
      <c r="C865" s="60"/>
    </row>
    <row r="866">
      <c r="A866" s="12"/>
      <c r="B866" s="60"/>
      <c r="C866" s="60"/>
    </row>
    <row r="867">
      <c r="A867" s="12"/>
      <c r="B867" s="60"/>
      <c r="C867" s="60"/>
    </row>
    <row r="868">
      <c r="A868" s="12"/>
      <c r="B868" s="60"/>
      <c r="C868" s="60"/>
    </row>
    <row r="869">
      <c r="A869" s="12"/>
      <c r="B869" s="60"/>
      <c r="C869" s="60"/>
    </row>
    <row r="870">
      <c r="A870" s="12"/>
      <c r="B870" s="60"/>
      <c r="C870" s="60"/>
    </row>
    <row r="871">
      <c r="A871" s="12"/>
      <c r="B871" s="60"/>
      <c r="C871" s="60"/>
    </row>
    <row r="872">
      <c r="A872" s="12"/>
      <c r="B872" s="60"/>
      <c r="C872" s="60"/>
    </row>
    <row r="873">
      <c r="A873" s="12"/>
      <c r="B873" s="60"/>
      <c r="C873" s="60"/>
    </row>
    <row r="874">
      <c r="A874" s="12"/>
      <c r="B874" s="60"/>
      <c r="C874" s="60"/>
    </row>
    <row r="875">
      <c r="A875" s="12"/>
      <c r="B875" s="60"/>
      <c r="C875" s="60"/>
    </row>
    <row r="876">
      <c r="A876" s="12"/>
      <c r="B876" s="60"/>
      <c r="C876" s="60"/>
    </row>
    <row r="877">
      <c r="A877" s="12"/>
      <c r="B877" s="60"/>
      <c r="C877" s="60"/>
    </row>
    <row r="878">
      <c r="A878" s="12"/>
      <c r="B878" s="60"/>
      <c r="C878" s="60"/>
    </row>
    <row r="879">
      <c r="A879" s="12"/>
      <c r="B879" s="60"/>
      <c r="C879" s="60"/>
    </row>
    <row r="880">
      <c r="A880" s="12"/>
      <c r="B880" s="60"/>
      <c r="C880" s="60"/>
    </row>
    <row r="881">
      <c r="A881" s="12"/>
      <c r="B881" s="60"/>
      <c r="C881" s="60"/>
    </row>
    <row r="882">
      <c r="A882" s="12"/>
      <c r="B882" s="60"/>
      <c r="C882" s="60"/>
    </row>
    <row r="883">
      <c r="A883" s="12"/>
      <c r="B883" s="60"/>
      <c r="C883" s="60"/>
    </row>
    <row r="884">
      <c r="A884" s="12"/>
      <c r="B884" s="60"/>
      <c r="C884" s="60"/>
    </row>
    <row r="885">
      <c r="A885" s="12"/>
      <c r="B885" s="60"/>
      <c r="C885" s="60"/>
    </row>
    <row r="886">
      <c r="A886" s="12"/>
      <c r="B886" s="60"/>
      <c r="C886" s="60"/>
    </row>
    <row r="887">
      <c r="A887" s="12"/>
      <c r="B887" s="60"/>
      <c r="C887" s="60"/>
    </row>
    <row r="888">
      <c r="A888" s="12"/>
      <c r="B888" s="60"/>
      <c r="C888" s="60"/>
    </row>
    <row r="889">
      <c r="A889" s="12"/>
      <c r="B889" s="60"/>
      <c r="C889" s="60"/>
    </row>
    <row r="890">
      <c r="A890" s="12"/>
      <c r="B890" s="60"/>
      <c r="C890" s="60"/>
    </row>
    <row r="891">
      <c r="A891" s="12"/>
      <c r="B891" s="60"/>
      <c r="C891" s="60"/>
    </row>
    <row r="892">
      <c r="A892" s="12"/>
      <c r="B892" s="60"/>
      <c r="C892" s="60"/>
    </row>
    <row r="893">
      <c r="A893" s="12"/>
      <c r="B893" s="60"/>
      <c r="C893" s="60"/>
    </row>
    <row r="894">
      <c r="A894" s="12"/>
      <c r="B894" s="60"/>
      <c r="C894" s="60"/>
    </row>
    <row r="895">
      <c r="A895" s="12"/>
      <c r="B895" s="60"/>
      <c r="C895" s="60"/>
    </row>
    <row r="896">
      <c r="A896" s="12"/>
      <c r="B896" s="60"/>
      <c r="C896" s="60"/>
    </row>
    <row r="897">
      <c r="A897" s="12"/>
      <c r="B897" s="60"/>
      <c r="C897" s="60"/>
    </row>
    <row r="898">
      <c r="A898" s="12"/>
      <c r="B898" s="60"/>
      <c r="C898" s="60"/>
    </row>
    <row r="899">
      <c r="A899" s="12"/>
      <c r="B899" s="60"/>
      <c r="C899" s="60"/>
    </row>
    <row r="900">
      <c r="A900" s="12"/>
      <c r="B900" s="60"/>
      <c r="C900" s="60"/>
    </row>
    <row r="901">
      <c r="A901" s="12"/>
      <c r="B901" s="60"/>
      <c r="C901" s="60"/>
    </row>
    <row r="902">
      <c r="A902" s="12"/>
      <c r="B902" s="60"/>
      <c r="C902" s="60"/>
    </row>
    <row r="903">
      <c r="A903" s="12"/>
      <c r="B903" s="60"/>
      <c r="C903" s="60"/>
    </row>
    <row r="904">
      <c r="A904" s="12"/>
      <c r="B904" s="60"/>
      <c r="C904" s="60"/>
    </row>
    <row r="905">
      <c r="A905" s="12"/>
      <c r="B905" s="60"/>
      <c r="C905" s="60"/>
    </row>
    <row r="906">
      <c r="A906" s="12"/>
      <c r="B906" s="60"/>
      <c r="C906" s="60"/>
    </row>
    <row r="907">
      <c r="A907" s="12"/>
      <c r="B907" s="60"/>
      <c r="C907" s="60"/>
    </row>
    <row r="908">
      <c r="A908" s="12"/>
      <c r="B908" s="60"/>
      <c r="C908" s="60"/>
    </row>
    <row r="909">
      <c r="A909" s="12"/>
      <c r="B909" s="60"/>
      <c r="C909" s="60"/>
    </row>
    <row r="910">
      <c r="A910" s="12"/>
      <c r="B910" s="60"/>
      <c r="C910" s="60"/>
    </row>
    <row r="911">
      <c r="A911" s="12"/>
      <c r="B911" s="60"/>
      <c r="C911" s="60"/>
    </row>
    <row r="912">
      <c r="A912" s="12"/>
      <c r="B912" s="60"/>
      <c r="C912" s="60"/>
    </row>
    <row r="913">
      <c r="A913" s="12"/>
      <c r="B913" s="60"/>
      <c r="C913" s="60"/>
    </row>
    <row r="914">
      <c r="A914" s="12"/>
      <c r="B914" s="60"/>
      <c r="C914" s="60"/>
    </row>
    <row r="915">
      <c r="A915" s="12"/>
      <c r="B915" s="60"/>
      <c r="C915" s="60"/>
    </row>
    <row r="916">
      <c r="A916" s="12"/>
      <c r="B916" s="60"/>
      <c r="C916" s="60"/>
    </row>
    <row r="917">
      <c r="A917" s="12"/>
      <c r="B917" s="60"/>
      <c r="C917" s="60"/>
    </row>
    <row r="918">
      <c r="A918" s="12"/>
      <c r="B918" s="60"/>
      <c r="C918" s="60"/>
    </row>
    <row r="919">
      <c r="A919" s="12"/>
      <c r="B919" s="60"/>
      <c r="C919" s="60"/>
    </row>
    <row r="920">
      <c r="A920" s="12"/>
      <c r="B920" s="60"/>
      <c r="C920" s="60"/>
    </row>
    <row r="921">
      <c r="A921" s="12"/>
      <c r="B921" s="60"/>
      <c r="C921" s="60"/>
    </row>
    <row r="922">
      <c r="A922" s="12"/>
      <c r="B922" s="60"/>
      <c r="C922" s="60"/>
    </row>
    <row r="923">
      <c r="A923" s="12"/>
      <c r="B923" s="60"/>
      <c r="C923" s="60"/>
    </row>
    <row r="924">
      <c r="A924" s="12"/>
      <c r="B924" s="60"/>
      <c r="C924" s="60"/>
    </row>
    <row r="925">
      <c r="A925" s="12"/>
      <c r="B925" s="60"/>
      <c r="C925" s="60"/>
    </row>
    <row r="926">
      <c r="A926" s="12"/>
      <c r="B926" s="60"/>
      <c r="C926" s="60"/>
    </row>
    <row r="927">
      <c r="A927" s="12"/>
      <c r="B927" s="60"/>
      <c r="C927" s="60"/>
    </row>
    <row r="928">
      <c r="A928" s="12"/>
      <c r="B928" s="60"/>
      <c r="C928" s="60"/>
    </row>
    <row r="929">
      <c r="A929" s="12"/>
      <c r="B929" s="60"/>
      <c r="C929" s="60"/>
    </row>
    <row r="930">
      <c r="A930" s="12"/>
      <c r="B930" s="60"/>
      <c r="C930" s="60"/>
    </row>
    <row r="931">
      <c r="A931" s="12"/>
      <c r="B931" s="60"/>
      <c r="C931" s="60"/>
    </row>
    <row r="932">
      <c r="A932" s="12"/>
      <c r="B932" s="60"/>
      <c r="C932" s="60"/>
    </row>
    <row r="933">
      <c r="A933" s="12"/>
      <c r="B933" s="60"/>
      <c r="C933" s="60"/>
    </row>
    <row r="934">
      <c r="A934" s="12"/>
      <c r="B934" s="60"/>
      <c r="C934" s="60"/>
    </row>
    <row r="935">
      <c r="A935" s="12"/>
      <c r="B935" s="60"/>
      <c r="C935" s="60"/>
    </row>
    <row r="936">
      <c r="A936" s="12"/>
      <c r="B936" s="60"/>
      <c r="C936" s="60"/>
    </row>
    <row r="937">
      <c r="A937" s="12"/>
      <c r="B937" s="60"/>
      <c r="C937" s="60"/>
    </row>
    <row r="938">
      <c r="A938" s="12"/>
      <c r="B938" s="60"/>
      <c r="C938" s="60"/>
    </row>
    <row r="939">
      <c r="A939" s="12"/>
      <c r="B939" s="60"/>
      <c r="C939" s="60"/>
    </row>
    <row r="940">
      <c r="A940" s="12"/>
      <c r="B940" s="60"/>
      <c r="C940" s="60"/>
    </row>
    <row r="941">
      <c r="A941" s="12"/>
      <c r="B941" s="60"/>
      <c r="C941" s="60"/>
    </row>
    <row r="942">
      <c r="A942" s="12"/>
      <c r="B942" s="60"/>
      <c r="C942" s="60"/>
    </row>
    <row r="943">
      <c r="A943" s="12"/>
      <c r="B943" s="60"/>
      <c r="C943" s="60"/>
    </row>
    <row r="944">
      <c r="A944" s="12"/>
      <c r="B944" s="60"/>
      <c r="C944" s="60"/>
    </row>
    <row r="945">
      <c r="A945" s="12"/>
      <c r="B945" s="60"/>
      <c r="C945" s="60"/>
    </row>
    <row r="946">
      <c r="A946" s="12"/>
      <c r="B946" s="60"/>
      <c r="C946" s="60"/>
    </row>
    <row r="947">
      <c r="A947" s="12"/>
      <c r="B947" s="60"/>
      <c r="C947" s="60"/>
    </row>
    <row r="948">
      <c r="A948" s="12"/>
      <c r="B948" s="60"/>
      <c r="C948" s="60"/>
    </row>
    <row r="949">
      <c r="A949" s="12"/>
      <c r="B949" s="60"/>
      <c r="C949" s="60"/>
    </row>
    <row r="950">
      <c r="A950" s="12"/>
      <c r="B950" s="60"/>
      <c r="C950" s="60"/>
    </row>
    <row r="951">
      <c r="A951" s="12"/>
      <c r="B951" s="60"/>
      <c r="C951" s="60"/>
    </row>
    <row r="952">
      <c r="A952" s="12"/>
      <c r="B952" s="60"/>
      <c r="C952" s="60"/>
    </row>
    <row r="953">
      <c r="A953" s="12"/>
      <c r="B953" s="60"/>
      <c r="C953" s="60"/>
    </row>
    <row r="954">
      <c r="A954" s="12"/>
      <c r="B954" s="60"/>
      <c r="C954" s="60"/>
    </row>
    <row r="955">
      <c r="A955" s="12"/>
      <c r="B955" s="60"/>
      <c r="C955" s="60"/>
    </row>
    <row r="956">
      <c r="A956" s="12"/>
      <c r="B956" s="60"/>
      <c r="C956" s="60"/>
    </row>
    <row r="957">
      <c r="A957" s="12"/>
      <c r="B957" s="60"/>
      <c r="C957" s="60"/>
    </row>
    <row r="958">
      <c r="A958" s="12"/>
      <c r="B958" s="60"/>
      <c r="C958" s="60"/>
    </row>
    <row r="959">
      <c r="A959" s="12"/>
      <c r="B959" s="60"/>
      <c r="C959" s="60"/>
    </row>
    <row r="960">
      <c r="A960" s="12"/>
      <c r="B960" s="60"/>
      <c r="C960" s="60"/>
    </row>
    <row r="961">
      <c r="A961" s="12"/>
      <c r="B961" s="60"/>
      <c r="C961" s="60"/>
    </row>
    <row r="962">
      <c r="A962" s="12"/>
      <c r="B962" s="60"/>
      <c r="C962" s="60"/>
    </row>
    <row r="963">
      <c r="A963" s="12"/>
      <c r="B963" s="60"/>
      <c r="C963" s="60"/>
    </row>
    <row r="964">
      <c r="A964" s="12"/>
      <c r="B964" s="60"/>
      <c r="C964" s="60"/>
    </row>
    <row r="965">
      <c r="A965" s="12"/>
      <c r="B965" s="60"/>
      <c r="C965" s="60"/>
    </row>
    <row r="966">
      <c r="A966" s="12"/>
      <c r="B966" s="60"/>
      <c r="C966" s="60"/>
    </row>
    <row r="967">
      <c r="A967" s="12"/>
      <c r="B967" s="60"/>
      <c r="C967" s="60"/>
    </row>
    <row r="968">
      <c r="A968" s="12"/>
      <c r="B968" s="60"/>
      <c r="C968" s="60"/>
    </row>
    <row r="969">
      <c r="A969" s="12"/>
      <c r="B969" s="60"/>
      <c r="C969" s="60"/>
    </row>
    <row r="970">
      <c r="A970" s="12"/>
      <c r="B970" s="60"/>
      <c r="C970" s="60"/>
    </row>
    <row r="971">
      <c r="A971" s="12"/>
      <c r="B971" s="60"/>
      <c r="C971" s="60"/>
    </row>
    <row r="972">
      <c r="A972" s="12"/>
      <c r="B972" s="60"/>
      <c r="C972" s="60"/>
    </row>
    <row r="973">
      <c r="A973" s="12"/>
      <c r="B973" s="60"/>
      <c r="C973" s="60"/>
    </row>
    <row r="974">
      <c r="A974" s="12"/>
      <c r="B974" s="60"/>
      <c r="C974" s="60"/>
    </row>
    <row r="975">
      <c r="A975" s="12"/>
      <c r="B975" s="60"/>
      <c r="C975" s="60"/>
    </row>
    <row r="976">
      <c r="A976" s="12"/>
      <c r="B976" s="60"/>
      <c r="C976" s="60"/>
    </row>
    <row r="977">
      <c r="A977" s="12"/>
      <c r="B977" s="60"/>
      <c r="C977" s="60"/>
    </row>
    <row r="978">
      <c r="A978" s="12"/>
      <c r="B978" s="60"/>
      <c r="C978" s="60"/>
    </row>
    <row r="979">
      <c r="A979" s="12"/>
      <c r="B979" s="60"/>
      <c r="C979" s="60"/>
    </row>
    <row r="980">
      <c r="A980" s="12"/>
      <c r="B980" s="60"/>
      <c r="C980" s="60"/>
    </row>
    <row r="981">
      <c r="A981" s="12"/>
      <c r="B981" s="60"/>
      <c r="C981" s="60"/>
    </row>
    <row r="982">
      <c r="A982" s="12"/>
      <c r="B982" s="60"/>
      <c r="C982" s="60"/>
    </row>
    <row r="983">
      <c r="A983" s="12"/>
      <c r="B983" s="60"/>
      <c r="C983" s="60"/>
    </row>
    <row r="984">
      <c r="A984" s="12"/>
      <c r="B984" s="60"/>
      <c r="C984" s="60"/>
    </row>
    <row r="985">
      <c r="A985" s="12"/>
      <c r="B985" s="60"/>
      <c r="C985" s="60"/>
    </row>
    <row r="986">
      <c r="A986" s="12"/>
      <c r="B986" s="60"/>
      <c r="C986" s="60"/>
    </row>
    <row r="987">
      <c r="A987" s="12"/>
      <c r="B987" s="60"/>
      <c r="C987" s="60"/>
    </row>
    <row r="988">
      <c r="A988" s="12"/>
      <c r="B988" s="60"/>
      <c r="C988" s="60"/>
    </row>
    <row r="989">
      <c r="A989" s="12"/>
      <c r="B989" s="60"/>
      <c r="C989" s="60"/>
    </row>
    <row r="990">
      <c r="A990" s="12"/>
      <c r="B990" s="60"/>
      <c r="C990" s="60"/>
    </row>
    <row r="991">
      <c r="A991" s="12"/>
      <c r="B991" s="60"/>
      <c r="C991" s="60"/>
    </row>
    <row r="992">
      <c r="A992" s="12"/>
      <c r="B992" s="60"/>
      <c r="C992" s="60"/>
    </row>
    <row r="993">
      <c r="A993" s="12"/>
      <c r="B993" s="60"/>
      <c r="C993" s="60"/>
    </row>
    <row r="994">
      <c r="A994" s="12"/>
      <c r="B994" s="60"/>
      <c r="C994" s="60"/>
    </row>
    <row r="995">
      <c r="A995" s="12"/>
      <c r="B995" s="60"/>
      <c r="C995" s="60"/>
    </row>
    <row r="996">
      <c r="A996" s="12"/>
      <c r="B996" s="60"/>
      <c r="C996" s="60"/>
    </row>
    <row r="997">
      <c r="A997" s="12"/>
      <c r="B997" s="60"/>
      <c r="C997" s="60"/>
    </row>
    <row r="998">
      <c r="A998" s="12"/>
      <c r="B998" s="60"/>
      <c r="C998" s="60"/>
    </row>
    <row r="999">
      <c r="A999" s="12"/>
      <c r="B999" s="60"/>
      <c r="C999" s="60"/>
    </row>
    <row r="1000">
      <c r="A1000" s="12"/>
      <c r="B1000" s="60"/>
      <c r="C1000" s="60"/>
    </row>
    <row r="1001">
      <c r="A1001" s="12"/>
      <c r="B1001" s="60"/>
      <c r="C1001" s="60"/>
    </row>
    <row r="1002">
      <c r="A1002" s="12"/>
      <c r="B1002" s="60"/>
      <c r="C1002" s="60"/>
    </row>
    <row r="1003">
      <c r="A1003" s="12"/>
      <c r="B1003" s="60"/>
      <c r="C1003" s="60"/>
    </row>
  </sheetData>
  <mergeCells count="9">
    <mergeCell ref="A7:B7"/>
    <mergeCell ref="A8:B8"/>
    <mergeCell ref="B1:E1"/>
    <mergeCell ref="A2:F2"/>
    <mergeCell ref="A3:C3"/>
    <mergeCell ref="A4:C4"/>
    <mergeCell ref="E4:F4"/>
    <mergeCell ref="A5:B5"/>
    <mergeCell ref="A6:B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8.75"/>
    <col customWidth="1" min="2" max="8" width="14.63"/>
    <col customWidth="1" min="10" max="10" width="25.13"/>
    <col customWidth="1" min="11" max="11" width="15.13"/>
  </cols>
  <sheetData>
    <row r="1" ht="75.0" customHeight="1">
      <c r="A1" s="4" t="s">
        <v>118</v>
      </c>
      <c r="B1" s="3"/>
      <c r="C1" s="3"/>
      <c r="D1" s="3"/>
      <c r="E1" s="3"/>
      <c r="F1" s="3"/>
      <c r="G1" s="3"/>
      <c r="H1" s="3" t="s">
        <v>119</v>
      </c>
      <c r="K1" s="9">
        <f>SUM(B7:H7,K7) / 100</f>
        <v>0.05</v>
      </c>
      <c r="L1" s="20"/>
    </row>
    <row r="2">
      <c r="A2" s="10" t="s">
        <v>1348</v>
      </c>
      <c r="L2" s="10"/>
    </row>
    <row r="3">
      <c r="A3" s="12"/>
    </row>
    <row r="4">
      <c r="A4" s="14" t="s">
        <v>1349</v>
      </c>
      <c r="B4" s="6"/>
      <c r="C4" s="6"/>
      <c r="D4" s="6"/>
      <c r="E4" s="6"/>
      <c r="F4" s="6"/>
      <c r="G4" s="6"/>
      <c r="H4" s="8"/>
      <c r="I4" s="98"/>
      <c r="J4" s="14" t="s">
        <v>1350</v>
      </c>
      <c r="K4" s="8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5" t="s">
        <v>11</v>
      </c>
      <c r="B5" s="17">
        <v>2.0</v>
      </c>
      <c r="C5" s="17">
        <v>2.0</v>
      </c>
      <c r="D5" s="17">
        <v>2.0</v>
      </c>
      <c r="E5" s="17">
        <v>2.0</v>
      </c>
      <c r="F5" s="17">
        <v>2.0</v>
      </c>
      <c r="G5" s="17">
        <v>2.0</v>
      </c>
      <c r="H5" s="17">
        <v>2.0</v>
      </c>
      <c r="I5" s="18"/>
      <c r="J5" s="35" t="s">
        <v>11</v>
      </c>
      <c r="K5" s="17">
        <v>6.0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35" t="s">
        <v>13</v>
      </c>
      <c r="B6" s="17">
        <f t="shared" ref="B6:H6" si="1">COUNTA(B10:B18)</f>
        <v>1</v>
      </c>
      <c r="C6" s="17">
        <f t="shared" si="1"/>
        <v>0</v>
      </c>
      <c r="D6" s="17">
        <f t="shared" si="1"/>
        <v>0</v>
      </c>
      <c r="E6" s="17">
        <f t="shared" si="1"/>
        <v>0</v>
      </c>
      <c r="F6" s="17">
        <f t="shared" si="1"/>
        <v>0</v>
      </c>
      <c r="G6" s="17">
        <f t="shared" si="1"/>
        <v>0</v>
      </c>
      <c r="H6" s="17">
        <f t="shared" si="1"/>
        <v>0</v>
      </c>
      <c r="I6" s="18"/>
      <c r="J6" s="35" t="s">
        <v>13</v>
      </c>
      <c r="K6" s="17">
        <f>COUNTA(K10:K1001)</f>
        <v>0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5" t="s">
        <v>17</v>
      </c>
      <c r="B7" s="48">
        <f t="shared" ref="B7:H7" si="2">(B6 * B8) / B5</f>
        <v>5</v>
      </c>
      <c r="C7" s="48">
        <f t="shared" si="2"/>
        <v>0</v>
      </c>
      <c r="D7" s="48">
        <f t="shared" si="2"/>
        <v>0</v>
      </c>
      <c r="E7" s="48">
        <f t="shared" si="2"/>
        <v>0</v>
      </c>
      <c r="F7" s="48">
        <f t="shared" si="2"/>
        <v>0</v>
      </c>
      <c r="G7" s="48">
        <f t="shared" si="2"/>
        <v>0</v>
      </c>
      <c r="H7" s="48">
        <f t="shared" si="2"/>
        <v>0</v>
      </c>
      <c r="I7" s="18"/>
      <c r="J7" s="35" t="s">
        <v>17</v>
      </c>
      <c r="K7" s="48">
        <f>(K6 * K8) / K5</f>
        <v>0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55" t="s">
        <v>24</v>
      </c>
      <c r="B8" s="38">
        <v>10.0</v>
      </c>
      <c r="C8" s="38">
        <v>10.0</v>
      </c>
      <c r="D8" s="38">
        <v>10.0</v>
      </c>
      <c r="E8" s="38">
        <v>20.0</v>
      </c>
      <c r="F8" s="38">
        <v>30.0</v>
      </c>
      <c r="G8" s="38">
        <v>5.0</v>
      </c>
      <c r="H8" s="38">
        <v>5.0</v>
      </c>
      <c r="I8" s="18"/>
      <c r="J8" s="55" t="s">
        <v>24</v>
      </c>
      <c r="K8" s="38">
        <v>10.0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59.25" customHeight="1">
      <c r="A9" s="39" t="s">
        <v>1351</v>
      </c>
      <c r="B9" s="40" t="s">
        <v>1352</v>
      </c>
      <c r="C9" s="40" t="s">
        <v>1353</v>
      </c>
      <c r="D9" s="40" t="s">
        <v>1354</v>
      </c>
      <c r="E9" s="40" t="s">
        <v>1355</v>
      </c>
      <c r="F9" s="40" t="s">
        <v>1356</v>
      </c>
      <c r="G9" s="40" t="s">
        <v>1357</v>
      </c>
      <c r="H9" s="40" t="s">
        <v>1358</v>
      </c>
      <c r="I9" s="18"/>
      <c r="J9" s="54" t="s">
        <v>1305</v>
      </c>
      <c r="K9" s="40" t="s">
        <v>1306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41" t="s">
        <v>1359</v>
      </c>
      <c r="B10" s="42">
        <v>1.0</v>
      </c>
      <c r="C10" s="42"/>
      <c r="D10" s="42"/>
      <c r="E10" s="42"/>
      <c r="F10" s="42"/>
      <c r="G10" s="42"/>
      <c r="H10" s="42"/>
      <c r="J10" s="41" t="s">
        <v>104</v>
      </c>
      <c r="K10" s="41"/>
    </row>
    <row r="11">
      <c r="A11" s="41" t="s">
        <v>1360</v>
      </c>
      <c r="B11" s="42"/>
      <c r="C11" s="42"/>
      <c r="D11" s="42"/>
      <c r="E11" s="42"/>
      <c r="F11" s="42"/>
      <c r="G11" s="42"/>
      <c r="H11" s="42"/>
      <c r="J11" s="41" t="s">
        <v>111</v>
      </c>
      <c r="K11" s="41"/>
    </row>
    <row r="12">
      <c r="A12" s="62"/>
      <c r="B12" s="61"/>
      <c r="C12" s="61"/>
      <c r="D12" s="61"/>
      <c r="E12" s="61"/>
      <c r="F12" s="61"/>
      <c r="G12" s="61"/>
      <c r="H12" s="61"/>
      <c r="J12" s="41" t="s">
        <v>114</v>
      </c>
      <c r="K12" s="41"/>
    </row>
    <row r="13">
      <c r="A13" s="62"/>
      <c r="B13" s="61"/>
      <c r="C13" s="61"/>
      <c r="D13" s="61"/>
      <c r="E13" s="61"/>
      <c r="F13" s="61"/>
      <c r="G13" s="61"/>
      <c r="H13" s="61"/>
      <c r="J13" s="41" t="s">
        <v>1315</v>
      </c>
      <c r="K13" s="41"/>
    </row>
    <row r="14">
      <c r="A14" s="62"/>
      <c r="B14" s="61"/>
      <c r="C14" s="61"/>
      <c r="D14" s="61"/>
      <c r="E14" s="61"/>
      <c r="F14" s="61"/>
      <c r="G14" s="61"/>
      <c r="H14" s="61"/>
      <c r="J14" s="41" t="s">
        <v>1318</v>
      </c>
      <c r="K14" s="41"/>
    </row>
    <row r="15">
      <c r="A15" s="62"/>
      <c r="B15" s="61"/>
      <c r="C15" s="61"/>
      <c r="D15" s="61"/>
      <c r="E15" s="61"/>
      <c r="F15" s="61"/>
      <c r="G15" s="61"/>
      <c r="H15" s="61"/>
      <c r="J15" s="41" t="s">
        <v>1321</v>
      </c>
      <c r="K15" s="41"/>
    </row>
    <row r="16">
      <c r="A16" s="62"/>
      <c r="B16" s="61"/>
      <c r="C16" s="61"/>
      <c r="D16" s="61"/>
      <c r="E16" s="61"/>
      <c r="F16" s="61"/>
      <c r="G16" s="61"/>
      <c r="H16" s="61"/>
      <c r="J16" s="62"/>
      <c r="K16" s="62"/>
    </row>
    <row r="17">
      <c r="A17" s="62"/>
      <c r="B17" s="61"/>
      <c r="C17" s="61"/>
      <c r="D17" s="61"/>
      <c r="E17" s="61"/>
      <c r="F17" s="61"/>
      <c r="G17" s="61"/>
      <c r="H17" s="61"/>
      <c r="J17" s="62"/>
      <c r="K17" s="62"/>
    </row>
    <row r="18">
      <c r="A18" s="62"/>
      <c r="B18" s="61"/>
      <c r="C18" s="61"/>
      <c r="D18" s="61"/>
      <c r="E18" s="61"/>
      <c r="F18" s="61"/>
      <c r="G18" s="61"/>
      <c r="H18" s="61"/>
      <c r="J18" s="62"/>
      <c r="K18" s="62"/>
    </row>
    <row r="19">
      <c r="A19" s="62"/>
      <c r="B19" s="61"/>
      <c r="C19" s="61"/>
      <c r="D19" s="61"/>
      <c r="E19" s="61"/>
      <c r="F19" s="61"/>
      <c r="G19" s="61"/>
      <c r="H19" s="61"/>
      <c r="J19" s="62"/>
      <c r="K19" s="62"/>
    </row>
    <row r="20">
      <c r="A20" s="62"/>
      <c r="B20" s="60"/>
      <c r="C20" s="60"/>
      <c r="D20" s="60"/>
      <c r="E20" s="60"/>
      <c r="F20" s="60"/>
      <c r="G20" s="60"/>
      <c r="H20" s="60"/>
    </row>
    <row r="21">
      <c r="A21" s="62"/>
      <c r="B21" s="60"/>
      <c r="C21" s="60"/>
      <c r="D21" s="60"/>
      <c r="E21" s="60"/>
      <c r="F21" s="60"/>
      <c r="G21" s="60"/>
      <c r="H21" s="60"/>
    </row>
    <row r="22">
      <c r="A22" s="62"/>
      <c r="B22" s="60"/>
      <c r="C22" s="60"/>
      <c r="D22" s="60"/>
      <c r="E22" s="60"/>
      <c r="F22" s="60"/>
      <c r="G22" s="60"/>
      <c r="H22" s="60"/>
    </row>
    <row r="23">
      <c r="A23" s="62"/>
      <c r="B23" s="60"/>
      <c r="C23" s="60"/>
      <c r="D23" s="60"/>
      <c r="E23" s="60"/>
      <c r="F23" s="60"/>
      <c r="G23" s="60"/>
      <c r="H23" s="60"/>
    </row>
    <row r="24">
      <c r="A24" s="62"/>
      <c r="B24" s="60"/>
      <c r="C24" s="60"/>
      <c r="D24" s="60"/>
      <c r="E24" s="60"/>
      <c r="F24" s="60"/>
      <c r="G24" s="60"/>
      <c r="H24" s="60"/>
    </row>
    <row r="25">
      <c r="A25" s="62"/>
      <c r="B25" s="60"/>
      <c r="C25" s="60"/>
      <c r="D25" s="60"/>
      <c r="E25" s="60"/>
      <c r="F25" s="60"/>
      <c r="G25" s="60"/>
      <c r="H25" s="60"/>
    </row>
    <row r="26">
      <c r="A26" s="62"/>
      <c r="B26" s="60"/>
      <c r="C26" s="60"/>
      <c r="D26" s="60"/>
      <c r="E26" s="60"/>
      <c r="F26" s="60"/>
      <c r="G26" s="60"/>
      <c r="H26" s="60"/>
    </row>
    <row r="27">
      <c r="A27" s="62"/>
      <c r="B27" s="60"/>
      <c r="C27" s="60"/>
      <c r="D27" s="60"/>
      <c r="E27" s="60"/>
      <c r="F27" s="60"/>
      <c r="G27" s="60"/>
      <c r="H27" s="60"/>
    </row>
    <row r="28">
      <c r="A28" s="62"/>
      <c r="B28" s="60"/>
      <c r="C28" s="60"/>
      <c r="D28" s="60"/>
      <c r="E28" s="60"/>
      <c r="F28" s="60"/>
      <c r="G28" s="60"/>
      <c r="H28" s="60"/>
    </row>
    <row r="29">
      <c r="A29" s="62"/>
      <c r="B29" s="60"/>
      <c r="C29" s="60"/>
      <c r="D29" s="60"/>
      <c r="E29" s="60"/>
      <c r="F29" s="60"/>
      <c r="G29" s="60"/>
      <c r="H29" s="60"/>
    </row>
    <row r="30">
      <c r="A30" s="62"/>
      <c r="B30" s="60"/>
      <c r="C30" s="60"/>
      <c r="D30" s="60"/>
      <c r="E30" s="60"/>
      <c r="F30" s="60"/>
      <c r="G30" s="60"/>
      <c r="H30" s="60"/>
    </row>
    <row r="31">
      <c r="A31" s="62"/>
      <c r="B31" s="60"/>
      <c r="C31" s="60"/>
      <c r="D31" s="60"/>
      <c r="E31" s="60"/>
      <c r="F31" s="60"/>
      <c r="G31" s="60"/>
      <c r="H31" s="60"/>
    </row>
    <row r="32">
      <c r="A32" s="62"/>
      <c r="B32" s="60"/>
      <c r="C32" s="60"/>
      <c r="D32" s="60"/>
      <c r="E32" s="60"/>
      <c r="F32" s="60"/>
      <c r="G32" s="60"/>
      <c r="H32" s="60"/>
    </row>
    <row r="33">
      <c r="A33" s="62"/>
      <c r="B33" s="60"/>
      <c r="C33" s="60"/>
      <c r="D33" s="60"/>
      <c r="E33" s="60"/>
      <c r="F33" s="60"/>
      <c r="G33" s="60"/>
      <c r="H33" s="60"/>
    </row>
    <row r="34">
      <c r="A34" s="62"/>
      <c r="B34" s="60"/>
      <c r="C34" s="60"/>
      <c r="D34" s="60"/>
      <c r="E34" s="60"/>
      <c r="F34" s="60"/>
      <c r="G34" s="60"/>
      <c r="H34" s="60"/>
    </row>
    <row r="35">
      <c r="A35" s="62"/>
      <c r="B35" s="60"/>
      <c r="C35" s="60"/>
      <c r="D35" s="60"/>
      <c r="E35" s="60"/>
      <c r="F35" s="60"/>
      <c r="G35" s="60"/>
      <c r="H35" s="60"/>
    </row>
    <row r="36">
      <c r="A36" s="62"/>
      <c r="B36" s="60"/>
      <c r="C36" s="60"/>
      <c r="D36" s="60"/>
      <c r="E36" s="60"/>
      <c r="F36" s="60"/>
      <c r="G36" s="60"/>
      <c r="H36" s="60"/>
    </row>
    <row r="37">
      <c r="A37" s="62"/>
      <c r="B37" s="60"/>
      <c r="C37" s="60"/>
      <c r="D37" s="60"/>
      <c r="E37" s="60"/>
      <c r="F37" s="60"/>
      <c r="G37" s="60"/>
      <c r="H37" s="60"/>
    </row>
    <row r="38">
      <c r="A38" s="62"/>
      <c r="B38" s="60"/>
      <c r="C38" s="60"/>
      <c r="D38" s="60"/>
      <c r="E38" s="60"/>
      <c r="F38" s="60"/>
      <c r="G38" s="60"/>
      <c r="H38" s="60"/>
    </row>
    <row r="39">
      <c r="A39" s="62"/>
      <c r="B39" s="60"/>
      <c r="C39" s="60"/>
      <c r="D39" s="60"/>
      <c r="E39" s="60"/>
      <c r="F39" s="60"/>
      <c r="G39" s="60"/>
      <c r="H39" s="60"/>
    </row>
    <row r="40">
      <c r="A40" s="62"/>
      <c r="B40" s="60"/>
      <c r="C40" s="60"/>
      <c r="D40" s="60"/>
      <c r="E40" s="60"/>
      <c r="F40" s="60"/>
      <c r="G40" s="60"/>
      <c r="H40" s="60"/>
    </row>
    <row r="41">
      <c r="A41" s="62"/>
      <c r="B41" s="60"/>
      <c r="C41" s="60"/>
      <c r="D41" s="60"/>
      <c r="E41" s="60"/>
      <c r="F41" s="60"/>
      <c r="G41" s="60"/>
      <c r="H41" s="60"/>
    </row>
    <row r="42">
      <c r="A42" s="62"/>
      <c r="B42" s="60"/>
      <c r="C42" s="60"/>
      <c r="D42" s="60"/>
      <c r="E42" s="60"/>
      <c r="F42" s="60"/>
      <c r="G42" s="60"/>
      <c r="H42" s="60"/>
    </row>
    <row r="43">
      <c r="A43" s="62"/>
      <c r="B43" s="60"/>
      <c r="C43" s="60"/>
      <c r="D43" s="60"/>
      <c r="E43" s="60"/>
      <c r="F43" s="60"/>
      <c r="G43" s="60"/>
      <c r="H43" s="60"/>
    </row>
    <row r="44">
      <c r="A44" s="62"/>
      <c r="B44" s="60"/>
      <c r="C44" s="60"/>
      <c r="D44" s="60"/>
      <c r="E44" s="60"/>
      <c r="F44" s="60"/>
      <c r="G44" s="60"/>
      <c r="H44" s="60"/>
    </row>
    <row r="45">
      <c r="A45" s="62"/>
      <c r="B45" s="60"/>
      <c r="C45" s="60"/>
      <c r="D45" s="60"/>
      <c r="E45" s="60"/>
      <c r="F45" s="60"/>
      <c r="G45" s="60"/>
      <c r="H45" s="60"/>
    </row>
    <row r="46">
      <c r="A46" s="62"/>
      <c r="B46" s="60"/>
      <c r="C46" s="60"/>
      <c r="D46" s="60"/>
      <c r="E46" s="60"/>
      <c r="F46" s="60"/>
      <c r="G46" s="60"/>
      <c r="H46" s="60"/>
    </row>
    <row r="47">
      <c r="A47" s="62"/>
      <c r="B47" s="60"/>
      <c r="C47" s="60"/>
      <c r="D47" s="60"/>
      <c r="E47" s="60"/>
      <c r="F47" s="60"/>
      <c r="G47" s="60"/>
      <c r="H47" s="60"/>
    </row>
    <row r="48">
      <c r="A48" s="62"/>
      <c r="B48" s="60"/>
      <c r="C48" s="60"/>
      <c r="D48" s="60"/>
      <c r="E48" s="60"/>
      <c r="F48" s="60"/>
      <c r="G48" s="60"/>
      <c r="H48" s="60"/>
    </row>
    <row r="49">
      <c r="A49" s="62"/>
      <c r="B49" s="60"/>
      <c r="C49" s="60"/>
      <c r="D49" s="60"/>
      <c r="E49" s="60"/>
      <c r="F49" s="60"/>
      <c r="G49" s="60"/>
      <c r="H49" s="60"/>
    </row>
    <row r="50">
      <c r="A50" s="62"/>
      <c r="B50" s="60"/>
      <c r="C50" s="60"/>
      <c r="D50" s="60"/>
      <c r="E50" s="60"/>
      <c r="F50" s="60"/>
      <c r="G50" s="60"/>
      <c r="H50" s="60"/>
    </row>
    <row r="51">
      <c r="A51" s="62"/>
      <c r="B51" s="60"/>
      <c r="C51" s="60"/>
      <c r="D51" s="60"/>
      <c r="E51" s="60"/>
      <c r="F51" s="60"/>
      <c r="G51" s="60"/>
      <c r="H51" s="60"/>
    </row>
    <row r="52">
      <c r="A52" s="62"/>
      <c r="B52" s="60"/>
      <c r="C52" s="60"/>
      <c r="D52" s="60"/>
      <c r="E52" s="60"/>
      <c r="F52" s="60"/>
      <c r="G52" s="60"/>
      <c r="H52" s="60"/>
    </row>
    <row r="53">
      <c r="A53" s="62"/>
      <c r="B53" s="60"/>
      <c r="C53" s="60"/>
      <c r="D53" s="60"/>
      <c r="E53" s="60"/>
      <c r="F53" s="60"/>
      <c r="G53" s="60"/>
      <c r="H53" s="60"/>
    </row>
    <row r="54">
      <c r="A54" s="62"/>
      <c r="B54" s="60"/>
      <c r="C54" s="60"/>
      <c r="D54" s="60"/>
      <c r="E54" s="60"/>
      <c r="F54" s="60"/>
      <c r="G54" s="60"/>
      <c r="H54" s="60"/>
    </row>
    <row r="55">
      <c r="A55" s="62"/>
      <c r="B55" s="60"/>
      <c r="C55" s="60"/>
      <c r="D55" s="60"/>
      <c r="E55" s="60"/>
      <c r="F55" s="60"/>
      <c r="G55" s="60"/>
      <c r="H55" s="60"/>
    </row>
    <row r="56">
      <c r="A56" s="62"/>
      <c r="B56" s="60"/>
      <c r="C56" s="60"/>
      <c r="D56" s="60"/>
      <c r="E56" s="60"/>
      <c r="F56" s="60"/>
      <c r="G56" s="60"/>
      <c r="H56" s="60"/>
    </row>
    <row r="57">
      <c r="A57" s="62"/>
      <c r="B57" s="60"/>
      <c r="C57" s="60"/>
      <c r="D57" s="60"/>
      <c r="E57" s="60"/>
      <c r="F57" s="60"/>
      <c r="G57" s="60"/>
      <c r="H57" s="60"/>
    </row>
    <row r="58">
      <c r="A58" s="62"/>
      <c r="B58" s="60"/>
      <c r="C58" s="60"/>
      <c r="D58" s="60"/>
      <c r="E58" s="60"/>
      <c r="F58" s="60"/>
      <c r="G58" s="60"/>
      <c r="H58" s="60"/>
    </row>
    <row r="59">
      <c r="A59" s="62"/>
      <c r="B59" s="60"/>
      <c r="C59" s="60"/>
      <c r="D59" s="60"/>
      <c r="E59" s="60"/>
      <c r="F59" s="60"/>
      <c r="G59" s="60"/>
      <c r="H59" s="60"/>
    </row>
    <row r="60">
      <c r="A60" s="62"/>
      <c r="B60" s="60"/>
      <c r="C60" s="60"/>
      <c r="D60" s="60"/>
      <c r="E60" s="60"/>
      <c r="F60" s="60"/>
      <c r="G60" s="60"/>
      <c r="H60" s="60"/>
    </row>
    <row r="61">
      <c r="A61" s="62"/>
      <c r="B61" s="60"/>
      <c r="C61" s="60"/>
      <c r="D61" s="60"/>
      <c r="E61" s="60"/>
      <c r="F61" s="60"/>
      <c r="G61" s="60"/>
      <c r="H61" s="60"/>
    </row>
    <row r="62">
      <c r="A62" s="62"/>
      <c r="B62" s="60"/>
      <c r="C62" s="60"/>
      <c r="D62" s="60"/>
      <c r="E62" s="60"/>
      <c r="F62" s="60"/>
      <c r="G62" s="60"/>
      <c r="H62" s="60"/>
    </row>
    <row r="63">
      <c r="A63" s="62"/>
      <c r="B63" s="60"/>
      <c r="C63" s="60"/>
      <c r="D63" s="60"/>
      <c r="E63" s="60"/>
      <c r="F63" s="60"/>
      <c r="G63" s="60"/>
      <c r="H63" s="60"/>
    </row>
    <row r="64">
      <c r="A64" s="62"/>
      <c r="B64" s="60"/>
      <c r="C64" s="60"/>
      <c r="D64" s="60"/>
      <c r="E64" s="60"/>
      <c r="F64" s="60"/>
      <c r="G64" s="60"/>
      <c r="H64" s="60"/>
    </row>
    <row r="65">
      <c r="A65" s="62"/>
      <c r="B65" s="60"/>
      <c r="C65" s="60"/>
      <c r="D65" s="60"/>
      <c r="E65" s="60"/>
      <c r="F65" s="60"/>
      <c r="G65" s="60"/>
      <c r="H65" s="60"/>
    </row>
    <row r="66">
      <c r="A66" s="62"/>
      <c r="B66" s="60"/>
      <c r="C66" s="60"/>
      <c r="D66" s="60"/>
      <c r="E66" s="60"/>
      <c r="F66" s="60"/>
      <c r="G66" s="60"/>
      <c r="H66" s="60"/>
    </row>
    <row r="67">
      <c r="A67" s="62"/>
      <c r="B67" s="60"/>
      <c r="C67" s="60"/>
      <c r="D67" s="60"/>
      <c r="E67" s="60"/>
      <c r="F67" s="60"/>
      <c r="G67" s="60"/>
      <c r="H67" s="60"/>
    </row>
    <row r="68">
      <c r="A68" s="62"/>
      <c r="B68" s="60"/>
      <c r="C68" s="60"/>
      <c r="D68" s="60"/>
      <c r="E68" s="60"/>
      <c r="F68" s="60"/>
      <c r="G68" s="60"/>
      <c r="H68" s="60"/>
    </row>
    <row r="69">
      <c r="A69" s="62"/>
      <c r="B69" s="60"/>
      <c r="C69" s="60"/>
      <c r="D69" s="60"/>
      <c r="E69" s="60"/>
      <c r="F69" s="60"/>
      <c r="G69" s="60"/>
      <c r="H69" s="60"/>
    </row>
    <row r="70">
      <c r="A70" s="62"/>
      <c r="B70" s="60"/>
      <c r="C70" s="60"/>
      <c r="D70" s="60"/>
      <c r="E70" s="60"/>
      <c r="F70" s="60"/>
      <c r="G70" s="60"/>
      <c r="H70" s="60"/>
    </row>
    <row r="71">
      <c r="A71" s="62"/>
      <c r="B71" s="60"/>
      <c r="C71" s="60"/>
      <c r="D71" s="60"/>
      <c r="E71" s="60"/>
      <c r="F71" s="60"/>
      <c r="G71" s="60"/>
      <c r="H71" s="60"/>
    </row>
    <row r="72">
      <c r="A72" s="62"/>
      <c r="B72" s="60"/>
      <c r="C72" s="60"/>
      <c r="D72" s="60"/>
      <c r="E72" s="60"/>
      <c r="F72" s="60"/>
      <c r="G72" s="60"/>
      <c r="H72" s="60"/>
    </row>
    <row r="73">
      <c r="A73" s="62"/>
      <c r="B73" s="60"/>
      <c r="C73" s="60"/>
      <c r="D73" s="60"/>
      <c r="E73" s="60"/>
      <c r="F73" s="60"/>
      <c r="G73" s="60"/>
      <c r="H73" s="60"/>
    </row>
    <row r="74">
      <c r="A74" s="62"/>
      <c r="B74" s="60"/>
      <c r="C74" s="60"/>
      <c r="D74" s="60"/>
      <c r="E74" s="60"/>
      <c r="F74" s="60"/>
      <c r="G74" s="60"/>
      <c r="H74" s="60"/>
    </row>
    <row r="75">
      <c r="A75" s="62"/>
      <c r="B75" s="60"/>
      <c r="C75" s="60"/>
      <c r="D75" s="60"/>
      <c r="E75" s="60"/>
      <c r="F75" s="60"/>
      <c r="G75" s="60"/>
      <c r="H75" s="60"/>
    </row>
    <row r="76">
      <c r="A76" s="62"/>
      <c r="B76" s="60"/>
      <c r="C76" s="60"/>
      <c r="D76" s="60"/>
      <c r="E76" s="60"/>
      <c r="F76" s="60"/>
      <c r="G76" s="60"/>
      <c r="H76" s="60"/>
    </row>
    <row r="77">
      <c r="A77" s="62"/>
      <c r="B77" s="60"/>
      <c r="C77" s="60"/>
      <c r="D77" s="60"/>
      <c r="E77" s="60"/>
      <c r="F77" s="60"/>
      <c r="G77" s="60"/>
      <c r="H77" s="60"/>
    </row>
    <row r="78">
      <c r="A78" s="62"/>
      <c r="B78" s="60"/>
      <c r="C78" s="60"/>
      <c r="D78" s="60"/>
      <c r="E78" s="60"/>
      <c r="F78" s="60"/>
      <c r="G78" s="60"/>
      <c r="H78" s="60"/>
    </row>
    <row r="79">
      <c r="A79" s="62"/>
      <c r="B79" s="60"/>
      <c r="C79" s="60"/>
      <c r="D79" s="60"/>
      <c r="E79" s="60"/>
      <c r="F79" s="60"/>
      <c r="G79" s="60"/>
      <c r="H79" s="60"/>
    </row>
    <row r="80">
      <c r="A80" s="62"/>
      <c r="B80" s="60"/>
      <c r="C80" s="60"/>
      <c r="D80" s="60"/>
      <c r="E80" s="60"/>
      <c r="F80" s="60"/>
      <c r="G80" s="60"/>
      <c r="H80" s="60"/>
    </row>
    <row r="81">
      <c r="A81" s="62"/>
      <c r="B81" s="60"/>
      <c r="C81" s="60"/>
      <c r="D81" s="60"/>
      <c r="E81" s="60"/>
      <c r="F81" s="60"/>
      <c r="G81" s="60"/>
      <c r="H81" s="60"/>
    </row>
    <row r="82">
      <c r="A82" s="62"/>
      <c r="B82" s="60"/>
      <c r="C82" s="60"/>
      <c r="D82" s="60"/>
      <c r="E82" s="60"/>
      <c r="F82" s="60"/>
      <c r="G82" s="60"/>
      <c r="H82" s="60"/>
    </row>
    <row r="83">
      <c r="A83" s="62"/>
      <c r="B83" s="60"/>
      <c r="C83" s="60"/>
      <c r="D83" s="60"/>
      <c r="E83" s="60"/>
      <c r="F83" s="60"/>
      <c r="G83" s="60"/>
      <c r="H83" s="60"/>
    </row>
    <row r="84">
      <c r="A84" s="62"/>
      <c r="B84" s="60"/>
      <c r="C84" s="60"/>
      <c r="D84" s="60"/>
      <c r="E84" s="60"/>
      <c r="F84" s="60"/>
      <c r="G84" s="60"/>
      <c r="H84" s="60"/>
    </row>
    <row r="85">
      <c r="A85" s="62"/>
      <c r="B85" s="60"/>
      <c r="C85" s="60"/>
      <c r="D85" s="60"/>
      <c r="E85" s="60"/>
      <c r="F85" s="60"/>
      <c r="G85" s="60"/>
      <c r="H85" s="60"/>
    </row>
    <row r="86">
      <c r="A86" s="62"/>
      <c r="B86" s="60"/>
      <c r="C86" s="60"/>
      <c r="D86" s="60"/>
      <c r="E86" s="60"/>
      <c r="F86" s="60"/>
      <c r="G86" s="60"/>
      <c r="H86" s="60"/>
    </row>
    <row r="87">
      <c r="A87" s="62"/>
      <c r="B87" s="60"/>
      <c r="C87" s="60"/>
      <c r="D87" s="60"/>
      <c r="E87" s="60"/>
      <c r="F87" s="60"/>
      <c r="G87" s="60"/>
      <c r="H87" s="60"/>
    </row>
    <row r="88">
      <c r="A88" s="62"/>
      <c r="B88" s="60"/>
      <c r="C88" s="60"/>
      <c r="D88" s="60"/>
      <c r="E88" s="60"/>
      <c r="F88" s="60"/>
      <c r="G88" s="60"/>
      <c r="H88" s="60"/>
    </row>
    <row r="89">
      <c r="A89" s="62"/>
      <c r="B89" s="60"/>
      <c r="C89" s="60"/>
      <c r="D89" s="60"/>
      <c r="E89" s="60"/>
      <c r="F89" s="60"/>
      <c r="G89" s="60"/>
      <c r="H89" s="60"/>
    </row>
    <row r="90">
      <c r="A90" s="62"/>
      <c r="B90" s="60"/>
      <c r="C90" s="60"/>
      <c r="D90" s="60"/>
      <c r="E90" s="60"/>
      <c r="F90" s="60"/>
      <c r="G90" s="60"/>
      <c r="H90" s="60"/>
    </row>
    <row r="91">
      <c r="A91" s="62"/>
      <c r="B91" s="60"/>
      <c r="C91" s="60"/>
      <c r="D91" s="60"/>
      <c r="E91" s="60"/>
      <c r="F91" s="60"/>
      <c r="G91" s="60"/>
      <c r="H91" s="60"/>
    </row>
    <row r="92">
      <c r="A92" s="62"/>
      <c r="B92" s="60"/>
      <c r="C92" s="60"/>
      <c r="D92" s="60"/>
      <c r="E92" s="60"/>
      <c r="F92" s="60"/>
      <c r="G92" s="60"/>
      <c r="H92" s="60"/>
    </row>
    <row r="93">
      <c r="A93" s="62"/>
      <c r="B93" s="60"/>
      <c r="C93" s="60"/>
      <c r="D93" s="60"/>
      <c r="E93" s="60"/>
      <c r="F93" s="60"/>
      <c r="G93" s="60"/>
      <c r="H93" s="60"/>
    </row>
    <row r="94">
      <c r="A94" s="62"/>
      <c r="B94" s="60"/>
      <c r="C94" s="60"/>
      <c r="D94" s="60"/>
      <c r="E94" s="60"/>
      <c r="F94" s="60"/>
      <c r="G94" s="60"/>
      <c r="H94" s="60"/>
    </row>
    <row r="95">
      <c r="A95" s="62"/>
      <c r="B95" s="60"/>
      <c r="C95" s="60"/>
      <c r="D95" s="60"/>
      <c r="E95" s="60"/>
      <c r="F95" s="60"/>
      <c r="G95" s="60"/>
      <c r="H95" s="60"/>
    </row>
    <row r="96">
      <c r="A96" s="62"/>
      <c r="B96" s="60"/>
      <c r="C96" s="60"/>
      <c r="D96" s="60"/>
      <c r="E96" s="60"/>
      <c r="F96" s="60"/>
      <c r="G96" s="60"/>
      <c r="H96" s="60"/>
    </row>
    <row r="97">
      <c r="A97" s="62"/>
      <c r="B97" s="60"/>
      <c r="C97" s="60"/>
      <c r="D97" s="60"/>
      <c r="E97" s="60"/>
      <c r="F97" s="60"/>
      <c r="G97" s="60"/>
      <c r="H97" s="60"/>
    </row>
    <row r="98">
      <c r="A98" s="62"/>
      <c r="B98" s="60"/>
      <c r="C98" s="60"/>
      <c r="D98" s="60"/>
      <c r="E98" s="60"/>
      <c r="F98" s="60"/>
      <c r="G98" s="60"/>
      <c r="H98" s="60"/>
    </row>
    <row r="99">
      <c r="A99" s="62"/>
      <c r="B99" s="60"/>
      <c r="C99" s="60"/>
      <c r="D99" s="60"/>
      <c r="E99" s="60"/>
      <c r="F99" s="60"/>
      <c r="G99" s="60"/>
      <c r="H99" s="60"/>
    </row>
    <row r="100">
      <c r="A100" s="62"/>
      <c r="B100" s="60"/>
      <c r="C100" s="60"/>
      <c r="D100" s="60"/>
      <c r="E100" s="60"/>
      <c r="F100" s="60"/>
      <c r="G100" s="60"/>
      <c r="H100" s="60"/>
    </row>
    <row r="101">
      <c r="A101" s="62"/>
      <c r="B101" s="60"/>
      <c r="C101" s="60"/>
      <c r="D101" s="60"/>
      <c r="E101" s="60"/>
      <c r="F101" s="60"/>
      <c r="G101" s="60"/>
      <c r="H101" s="60"/>
    </row>
    <row r="102">
      <c r="A102" s="62"/>
      <c r="B102" s="60"/>
      <c r="C102" s="60"/>
      <c r="D102" s="60"/>
      <c r="E102" s="60"/>
      <c r="F102" s="60"/>
      <c r="G102" s="60"/>
      <c r="H102" s="60"/>
    </row>
    <row r="103">
      <c r="A103" s="62"/>
      <c r="B103" s="60"/>
      <c r="C103" s="60"/>
      <c r="D103" s="60"/>
      <c r="E103" s="60"/>
      <c r="F103" s="60"/>
      <c r="G103" s="60"/>
      <c r="H103" s="60"/>
    </row>
    <row r="104">
      <c r="A104" s="62"/>
      <c r="B104" s="60"/>
      <c r="C104" s="60"/>
      <c r="D104" s="60"/>
      <c r="E104" s="60"/>
      <c r="F104" s="60"/>
      <c r="G104" s="60"/>
      <c r="H104" s="60"/>
    </row>
    <row r="105">
      <c r="A105" s="62"/>
      <c r="B105" s="60"/>
      <c r="C105" s="60"/>
      <c r="D105" s="60"/>
      <c r="E105" s="60"/>
      <c r="F105" s="60"/>
      <c r="G105" s="60"/>
      <c r="H105" s="60"/>
    </row>
    <row r="106">
      <c r="A106" s="62"/>
      <c r="B106" s="60"/>
      <c r="C106" s="60"/>
      <c r="D106" s="60"/>
      <c r="E106" s="60"/>
      <c r="F106" s="60"/>
      <c r="G106" s="60"/>
      <c r="H106" s="60"/>
    </row>
    <row r="107">
      <c r="A107" s="62"/>
      <c r="B107" s="60"/>
      <c r="C107" s="60"/>
      <c r="D107" s="60"/>
      <c r="E107" s="60"/>
      <c r="F107" s="60"/>
      <c r="G107" s="60"/>
      <c r="H107" s="60"/>
    </row>
    <row r="108">
      <c r="A108" s="62"/>
      <c r="B108" s="60"/>
      <c r="C108" s="60"/>
      <c r="D108" s="60"/>
      <c r="E108" s="60"/>
      <c r="F108" s="60"/>
      <c r="G108" s="60"/>
      <c r="H108" s="60"/>
    </row>
    <row r="109">
      <c r="A109" s="62"/>
      <c r="B109" s="60"/>
      <c r="C109" s="60"/>
      <c r="D109" s="60"/>
      <c r="E109" s="60"/>
      <c r="F109" s="60"/>
      <c r="G109" s="60"/>
      <c r="H109" s="60"/>
    </row>
    <row r="110">
      <c r="A110" s="12"/>
      <c r="B110" s="60"/>
      <c r="C110" s="60"/>
      <c r="D110" s="60"/>
      <c r="E110" s="60"/>
      <c r="F110" s="60"/>
      <c r="G110" s="60"/>
      <c r="H110" s="60"/>
    </row>
    <row r="111">
      <c r="A111" s="12"/>
      <c r="B111" s="60"/>
      <c r="C111" s="60"/>
      <c r="D111" s="60"/>
      <c r="E111" s="60"/>
      <c r="F111" s="60"/>
      <c r="G111" s="60"/>
      <c r="H111" s="60"/>
    </row>
    <row r="112">
      <c r="A112" s="12"/>
      <c r="B112" s="60"/>
      <c r="C112" s="60"/>
      <c r="D112" s="60"/>
      <c r="E112" s="60"/>
      <c r="F112" s="60"/>
      <c r="G112" s="60"/>
      <c r="H112" s="60"/>
    </row>
    <row r="113">
      <c r="A113" s="12"/>
      <c r="B113" s="60"/>
      <c r="C113" s="60"/>
      <c r="D113" s="60"/>
      <c r="E113" s="60"/>
      <c r="F113" s="60"/>
      <c r="G113" s="60"/>
      <c r="H113" s="60"/>
    </row>
    <row r="114">
      <c r="A114" s="12"/>
      <c r="B114" s="60"/>
      <c r="C114" s="60"/>
      <c r="D114" s="60"/>
      <c r="E114" s="60"/>
      <c r="F114" s="60"/>
      <c r="G114" s="60"/>
      <c r="H114" s="60"/>
    </row>
    <row r="115">
      <c r="A115" s="12"/>
      <c r="B115" s="60"/>
      <c r="C115" s="60"/>
      <c r="D115" s="60"/>
      <c r="E115" s="60"/>
      <c r="F115" s="60"/>
      <c r="G115" s="60"/>
      <c r="H115" s="60"/>
    </row>
    <row r="116">
      <c r="A116" s="12"/>
      <c r="B116" s="60"/>
      <c r="C116" s="60"/>
      <c r="D116" s="60"/>
      <c r="E116" s="60"/>
      <c r="F116" s="60"/>
      <c r="G116" s="60"/>
      <c r="H116" s="60"/>
    </row>
    <row r="117">
      <c r="A117" s="12"/>
      <c r="B117" s="60"/>
      <c r="C117" s="60"/>
      <c r="D117" s="60"/>
      <c r="E117" s="60"/>
      <c r="F117" s="60"/>
      <c r="G117" s="60"/>
      <c r="H117" s="60"/>
    </row>
    <row r="118">
      <c r="A118" s="12"/>
      <c r="B118" s="60"/>
      <c r="C118" s="60"/>
      <c r="D118" s="60"/>
      <c r="E118" s="60"/>
      <c r="F118" s="60"/>
      <c r="G118" s="60"/>
      <c r="H118" s="60"/>
    </row>
    <row r="119">
      <c r="A119" s="12"/>
      <c r="B119" s="60"/>
      <c r="C119" s="60"/>
      <c r="D119" s="60"/>
      <c r="E119" s="60"/>
      <c r="F119" s="60"/>
      <c r="G119" s="60"/>
      <c r="H119" s="60"/>
    </row>
    <row r="120">
      <c r="A120" s="12"/>
      <c r="B120" s="60"/>
      <c r="C120" s="60"/>
      <c r="D120" s="60"/>
      <c r="E120" s="60"/>
      <c r="F120" s="60"/>
      <c r="G120" s="60"/>
      <c r="H120" s="60"/>
    </row>
    <row r="121">
      <c r="A121" s="12"/>
      <c r="B121" s="60"/>
      <c r="C121" s="60"/>
      <c r="D121" s="60"/>
      <c r="E121" s="60"/>
      <c r="F121" s="60"/>
      <c r="G121" s="60"/>
      <c r="H121" s="60"/>
    </row>
    <row r="122">
      <c r="A122" s="12"/>
      <c r="B122" s="60"/>
      <c r="C122" s="60"/>
      <c r="D122" s="60"/>
      <c r="E122" s="60"/>
      <c r="F122" s="60"/>
      <c r="G122" s="60"/>
      <c r="H122" s="60"/>
    </row>
    <row r="123">
      <c r="A123" s="12"/>
      <c r="B123" s="60"/>
      <c r="C123" s="60"/>
      <c r="D123" s="60"/>
      <c r="E123" s="60"/>
      <c r="F123" s="60"/>
      <c r="G123" s="60"/>
      <c r="H123" s="60"/>
    </row>
    <row r="124">
      <c r="A124" s="12"/>
      <c r="B124" s="60"/>
      <c r="C124" s="60"/>
      <c r="D124" s="60"/>
      <c r="E124" s="60"/>
      <c r="F124" s="60"/>
      <c r="G124" s="60"/>
      <c r="H124" s="60"/>
    </row>
    <row r="125">
      <c r="A125" s="12"/>
      <c r="B125" s="60"/>
      <c r="C125" s="60"/>
      <c r="D125" s="60"/>
      <c r="E125" s="60"/>
      <c r="F125" s="60"/>
      <c r="G125" s="60"/>
      <c r="H125" s="60"/>
    </row>
    <row r="126">
      <c r="A126" s="12"/>
      <c r="B126" s="60"/>
      <c r="C126" s="60"/>
      <c r="D126" s="60"/>
      <c r="E126" s="60"/>
      <c r="F126" s="60"/>
      <c r="G126" s="60"/>
      <c r="H126" s="60"/>
    </row>
    <row r="127">
      <c r="A127" s="12"/>
      <c r="B127" s="60"/>
      <c r="C127" s="60"/>
      <c r="D127" s="60"/>
      <c r="E127" s="60"/>
      <c r="F127" s="60"/>
      <c r="G127" s="60"/>
      <c r="H127" s="60"/>
    </row>
    <row r="128">
      <c r="A128" s="12"/>
      <c r="B128" s="60"/>
      <c r="C128" s="60"/>
      <c r="D128" s="60"/>
      <c r="E128" s="60"/>
      <c r="F128" s="60"/>
      <c r="G128" s="60"/>
      <c r="H128" s="60"/>
    </row>
    <row r="129">
      <c r="A129" s="12"/>
      <c r="B129" s="60"/>
      <c r="C129" s="60"/>
      <c r="D129" s="60"/>
      <c r="E129" s="60"/>
      <c r="F129" s="60"/>
      <c r="G129" s="60"/>
      <c r="H129" s="60"/>
    </row>
    <row r="130">
      <c r="A130" s="12"/>
      <c r="B130" s="60"/>
      <c r="C130" s="60"/>
      <c r="D130" s="60"/>
      <c r="E130" s="60"/>
      <c r="F130" s="60"/>
      <c r="G130" s="60"/>
      <c r="H130" s="60"/>
    </row>
    <row r="131">
      <c r="A131" s="12"/>
      <c r="B131" s="60"/>
      <c r="C131" s="60"/>
      <c r="D131" s="60"/>
      <c r="E131" s="60"/>
      <c r="F131" s="60"/>
      <c r="G131" s="60"/>
      <c r="H131" s="60"/>
    </row>
    <row r="132">
      <c r="A132" s="12"/>
      <c r="B132" s="60"/>
      <c r="C132" s="60"/>
      <c r="D132" s="60"/>
      <c r="E132" s="60"/>
      <c r="F132" s="60"/>
      <c r="G132" s="60"/>
      <c r="H132" s="60"/>
    </row>
    <row r="133">
      <c r="A133" s="12"/>
      <c r="B133" s="60"/>
      <c r="C133" s="60"/>
      <c r="D133" s="60"/>
      <c r="E133" s="60"/>
      <c r="F133" s="60"/>
      <c r="G133" s="60"/>
      <c r="H133" s="60"/>
    </row>
    <row r="134">
      <c r="A134" s="12"/>
      <c r="B134" s="60"/>
      <c r="C134" s="60"/>
      <c r="D134" s="60"/>
      <c r="E134" s="60"/>
      <c r="F134" s="60"/>
      <c r="G134" s="60"/>
      <c r="H134" s="60"/>
    </row>
    <row r="135">
      <c r="A135" s="12"/>
      <c r="B135" s="60"/>
      <c r="C135" s="60"/>
      <c r="D135" s="60"/>
      <c r="E135" s="60"/>
      <c r="F135" s="60"/>
      <c r="G135" s="60"/>
      <c r="H135" s="60"/>
    </row>
    <row r="136">
      <c r="A136" s="12"/>
      <c r="B136" s="60"/>
      <c r="C136" s="60"/>
      <c r="D136" s="60"/>
      <c r="E136" s="60"/>
      <c r="F136" s="60"/>
      <c r="G136" s="60"/>
      <c r="H136" s="60"/>
    </row>
    <row r="137">
      <c r="A137" s="12"/>
      <c r="B137" s="60"/>
      <c r="C137" s="60"/>
      <c r="D137" s="60"/>
      <c r="E137" s="60"/>
      <c r="F137" s="60"/>
      <c r="G137" s="60"/>
      <c r="H137" s="60"/>
    </row>
    <row r="138">
      <c r="A138" s="12"/>
      <c r="B138" s="60"/>
      <c r="C138" s="60"/>
      <c r="D138" s="60"/>
      <c r="E138" s="60"/>
      <c r="F138" s="60"/>
      <c r="G138" s="60"/>
      <c r="H138" s="60"/>
    </row>
    <row r="139">
      <c r="A139" s="12"/>
      <c r="B139" s="60"/>
      <c r="C139" s="60"/>
      <c r="D139" s="60"/>
      <c r="E139" s="60"/>
      <c r="F139" s="60"/>
      <c r="G139" s="60"/>
      <c r="H139" s="60"/>
    </row>
    <row r="140">
      <c r="A140" s="12"/>
      <c r="B140" s="60"/>
      <c r="C140" s="60"/>
      <c r="D140" s="60"/>
      <c r="E140" s="60"/>
      <c r="F140" s="60"/>
      <c r="G140" s="60"/>
      <c r="H140" s="60"/>
    </row>
    <row r="141">
      <c r="A141" s="12"/>
      <c r="B141" s="60"/>
      <c r="C141" s="60"/>
      <c r="D141" s="60"/>
      <c r="E141" s="60"/>
      <c r="F141" s="60"/>
      <c r="G141" s="60"/>
      <c r="H141" s="60"/>
    </row>
    <row r="142">
      <c r="A142" s="12"/>
      <c r="B142" s="60"/>
      <c r="C142" s="60"/>
      <c r="D142" s="60"/>
      <c r="E142" s="60"/>
      <c r="F142" s="60"/>
      <c r="G142" s="60"/>
      <c r="H142" s="60"/>
    </row>
    <row r="143">
      <c r="A143" s="12"/>
      <c r="B143" s="60"/>
      <c r="C143" s="60"/>
      <c r="D143" s="60"/>
      <c r="E143" s="60"/>
      <c r="F143" s="60"/>
      <c r="G143" s="60"/>
      <c r="H143" s="60"/>
    </row>
    <row r="144">
      <c r="A144" s="12"/>
      <c r="B144" s="60"/>
      <c r="C144" s="60"/>
      <c r="D144" s="60"/>
      <c r="E144" s="60"/>
      <c r="F144" s="60"/>
      <c r="G144" s="60"/>
      <c r="H144" s="60"/>
    </row>
    <row r="145">
      <c r="A145" s="12"/>
      <c r="B145" s="60"/>
      <c r="C145" s="60"/>
      <c r="D145" s="60"/>
      <c r="E145" s="60"/>
      <c r="F145" s="60"/>
      <c r="G145" s="60"/>
      <c r="H145" s="60"/>
    </row>
    <row r="146">
      <c r="A146" s="12"/>
      <c r="B146" s="60"/>
      <c r="C146" s="60"/>
      <c r="D146" s="60"/>
      <c r="E146" s="60"/>
      <c r="F146" s="60"/>
      <c r="G146" s="60"/>
      <c r="H146" s="60"/>
    </row>
    <row r="147">
      <c r="A147" s="12"/>
      <c r="B147" s="60"/>
      <c r="C147" s="60"/>
      <c r="D147" s="60"/>
      <c r="E147" s="60"/>
      <c r="F147" s="60"/>
      <c r="G147" s="60"/>
      <c r="H147" s="60"/>
    </row>
    <row r="148">
      <c r="A148" s="12"/>
      <c r="B148" s="60"/>
      <c r="C148" s="60"/>
      <c r="D148" s="60"/>
      <c r="E148" s="60"/>
      <c r="F148" s="60"/>
      <c r="G148" s="60"/>
      <c r="H148" s="60"/>
    </row>
    <row r="149">
      <c r="A149" s="12"/>
      <c r="B149" s="60"/>
      <c r="C149" s="60"/>
      <c r="D149" s="60"/>
      <c r="E149" s="60"/>
      <c r="F149" s="60"/>
      <c r="G149" s="60"/>
      <c r="H149" s="60"/>
    </row>
    <row r="150">
      <c r="A150" s="12"/>
      <c r="B150" s="60"/>
      <c r="C150" s="60"/>
      <c r="D150" s="60"/>
      <c r="E150" s="60"/>
      <c r="F150" s="60"/>
      <c r="G150" s="60"/>
      <c r="H150" s="60"/>
    </row>
    <row r="151">
      <c r="A151" s="12"/>
      <c r="B151" s="60"/>
      <c r="C151" s="60"/>
      <c r="D151" s="60"/>
      <c r="E151" s="60"/>
      <c r="F151" s="60"/>
      <c r="G151" s="60"/>
      <c r="H151" s="60"/>
    </row>
    <row r="152">
      <c r="A152" s="12"/>
      <c r="B152" s="60"/>
      <c r="C152" s="60"/>
      <c r="D152" s="60"/>
      <c r="E152" s="60"/>
      <c r="F152" s="60"/>
      <c r="G152" s="60"/>
      <c r="H152" s="60"/>
    </row>
    <row r="153">
      <c r="A153" s="12"/>
      <c r="B153" s="60"/>
      <c r="C153" s="60"/>
      <c r="D153" s="60"/>
      <c r="E153" s="60"/>
      <c r="F153" s="60"/>
      <c r="G153" s="60"/>
      <c r="H153" s="60"/>
    </row>
    <row r="154">
      <c r="A154" s="12"/>
      <c r="B154" s="60"/>
      <c r="C154" s="60"/>
      <c r="D154" s="60"/>
      <c r="E154" s="60"/>
      <c r="F154" s="60"/>
      <c r="G154" s="60"/>
      <c r="H154" s="60"/>
    </row>
    <row r="155">
      <c r="A155" s="12"/>
      <c r="B155" s="60"/>
      <c r="C155" s="60"/>
      <c r="D155" s="60"/>
      <c r="E155" s="60"/>
      <c r="F155" s="60"/>
      <c r="G155" s="60"/>
      <c r="H155" s="60"/>
    </row>
    <row r="156">
      <c r="A156" s="12"/>
      <c r="B156" s="60"/>
      <c r="C156" s="60"/>
      <c r="D156" s="60"/>
      <c r="E156" s="60"/>
      <c r="F156" s="60"/>
      <c r="G156" s="60"/>
      <c r="H156" s="60"/>
    </row>
    <row r="157">
      <c r="A157" s="12"/>
      <c r="B157" s="60"/>
      <c r="C157" s="60"/>
      <c r="D157" s="60"/>
      <c r="E157" s="60"/>
      <c r="F157" s="60"/>
      <c r="G157" s="60"/>
      <c r="H157" s="60"/>
    </row>
    <row r="158">
      <c r="A158" s="12"/>
      <c r="B158" s="60"/>
      <c r="C158" s="60"/>
      <c r="D158" s="60"/>
      <c r="E158" s="60"/>
      <c r="F158" s="60"/>
      <c r="G158" s="60"/>
      <c r="H158" s="60"/>
    </row>
    <row r="159">
      <c r="A159" s="12"/>
      <c r="B159" s="60"/>
      <c r="C159" s="60"/>
      <c r="D159" s="60"/>
      <c r="E159" s="60"/>
      <c r="F159" s="60"/>
      <c r="G159" s="60"/>
      <c r="H159" s="60"/>
    </row>
    <row r="160">
      <c r="A160" s="12"/>
      <c r="B160" s="60"/>
      <c r="C160" s="60"/>
      <c r="D160" s="60"/>
      <c r="E160" s="60"/>
      <c r="F160" s="60"/>
      <c r="G160" s="60"/>
      <c r="H160" s="60"/>
    </row>
    <row r="161">
      <c r="A161" s="12"/>
      <c r="B161" s="60"/>
      <c r="C161" s="60"/>
      <c r="D161" s="60"/>
      <c r="E161" s="60"/>
      <c r="F161" s="60"/>
      <c r="G161" s="60"/>
      <c r="H161" s="60"/>
    </row>
    <row r="162">
      <c r="A162" s="12"/>
      <c r="B162" s="60"/>
      <c r="C162" s="60"/>
      <c r="D162" s="60"/>
      <c r="E162" s="60"/>
      <c r="F162" s="60"/>
      <c r="G162" s="60"/>
      <c r="H162" s="60"/>
    </row>
    <row r="163">
      <c r="A163" s="12"/>
      <c r="B163" s="60"/>
      <c r="C163" s="60"/>
      <c r="D163" s="60"/>
      <c r="E163" s="60"/>
      <c r="F163" s="60"/>
      <c r="G163" s="60"/>
      <c r="H163" s="60"/>
    </row>
    <row r="164">
      <c r="A164" s="12"/>
      <c r="B164" s="60"/>
      <c r="C164" s="60"/>
      <c r="D164" s="60"/>
      <c r="E164" s="60"/>
      <c r="F164" s="60"/>
      <c r="G164" s="60"/>
      <c r="H164" s="60"/>
    </row>
    <row r="165">
      <c r="A165" s="12"/>
      <c r="B165" s="60"/>
      <c r="C165" s="60"/>
      <c r="D165" s="60"/>
      <c r="E165" s="60"/>
      <c r="F165" s="60"/>
      <c r="G165" s="60"/>
      <c r="H165" s="60"/>
    </row>
    <row r="166">
      <c r="A166" s="12"/>
      <c r="B166" s="60"/>
      <c r="C166" s="60"/>
      <c r="D166" s="60"/>
      <c r="E166" s="60"/>
      <c r="F166" s="60"/>
      <c r="G166" s="60"/>
      <c r="H166" s="60"/>
    </row>
    <row r="167">
      <c r="A167" s="12"/>
      <c r="B167" s="60"/>
      <c r="C167" s="60"/>
      <c r="D167" s="60"/>
      <c r="E167" s="60"/>
      <c r="F167" s="60"/>
      <c r="G167" s="60"/>
      <c r="H167" s="60"/>
    </row>
    <row r="168">
      <c r="A168" s="12"/>
      <c r="B168" s="60"/>
      <c r="C168" s="60"/>
      <c r="D168" s="60"/>
      <c r="E168" s="60"/>
      <c r="F168" s="60"/>
      <c r="G168" s="60"/>
      <c r="H168" s="60"/>
    </row>
    <row r="169">
      <c r="A169" s="12"/>
      <c r="B169" s="60"/>
      <c r="C169" s="60"/>
      <c r="D169" s="60"/>
      <c r="E169" s="60"/>
      <c r="F169" s="60"/>
      <c r="G169" s="60"/>
      <c r="H169" s="60"/>
    </row>
    <row r="170">
      <c r="A170" s="12"/>
      <c r="B170" s="60"/>
      <c r="C170" s="60"/>
      <c r="D170" s="60"/>
      <c r="E170" s="60"/>
      <c r="F170" s="60"/>
      <c r="G170" s="60"/>
      <c r="H170" s="60"/>
    </row>
    <row r="171">
      <c r="A171" s="12"/>
      <c r="B171" s="60"/>
      <c r="C171" s="60"/>
      <c r="D171" s="60"/>
      <c r="E171" s="60"/>
      <c r="F171" s="60"/>
      <c r="G171" s="60"/>
      <c r="H171" s="60"/>
    </row>
    <row r="172">
      <c r="A172" s="12"/>
      <c r="B172" s="60"/>
      <c r="C172" s="60"/>
      <c r="D172" s="60"/>
      <c r="E172" s="60"/>
      <c r="F172" s="60"/>
      <c r="G172" s="60"/>
      <c r="H172" s="60"/>
    </row>
    <row r="173">
      <c r="A173" s="12"/>
      <c r="B173" s="60"/>
      <c r="C173" s="60"/>
      <c r="D173" s="60"/>
      <c r="E173" s="60"/>
      <c r="F173" s="60"/>
      <c r="G173" s="60"/>
      <c r="H173" s="60"/>
    </row>
    <row r="174">
      <c r="A174" s="12"/>
      <c r="B174" s="60"/>
      <c r="C174" s="60"/>
      <c r="D174" s="60"/>
      <c r="E174" s="60"/>
      <c r="F174" s="60"/>
      <c r="G174" s="60"/>
      <c r="H174" s="60"/>
    </row>
    <row r="175">
      <c r="A175" s="12"/>
      <c r="B175" s="60"/>
      <c r="C175" s="60"/>
      <c r="D175" s="60"/>
      <c r="E175" s="60"/>
      <c r="F175" s="60"/>
      <c r="G175" s="60"/>
      <c r="H175" s="60"/>
    </row>
    <row r="176">
      <c r="A176" s="12"/>
      <c r="B176" s="60"/>
      <c r="C176" s="60"/>
      <c r="D176" s="60"/>
      <c r="E176" s="60"/>
      <c r="F176" s="60"/>
      <c r="G176" s="60"/>
      <c r="H176" s="60"/>
    </row>
    <row r="177">
      <c r="A177" s="12"/>
      <c r="B177" s="60"/>
      <c r="C177" s="60"/>
      <c r="D177" s="60"/>
      <c r="E177" s="60"/>
      <c r="F177" s="60"/>
      <c r="G177" s="60"/>
      <c r="H177" s="60"/>
    </row>
    <row r="178">
      <c r="A178" s="12"/>
      <c r="B178" s="60"/>
      <c r="C178" s="60"/>
      <c r="D178" s="60"/>
      <c r="E178" s="60"/>
      <c r="F178" s="60"/>
      <c r="G178" s="60"/>
      <c r="H178" s="60"/>
    </row>
    <row r="179">
      <c r="A179" s="12"/>
      <c r="B179" s="60"/>
      <c r="C179" s="60"/>
      <c r="D179" s="60"/>
      <c r="E179" s="60"/>
      <c r="F179" s="60"/>
      <c r="G179" s="60"/>
      <c r="H179" s="60"/>
    </row>
    <row r="180">
      <c r="A180" s="12"/>
      <c r="B180" s="60"/>
      <c r="C180" s="60"/>
      <c r="D180" s="60"/>
      <c r="E180" s="60"/>
      <c r="F180" s="60"/>
      <c r="G180" s="60"/>
      <c r="H180" s="60"/>
    </row>
    <row r="181">
      <c r="A181" s="12"/>
      <c r="B181" s="60"/>
      <c r="C181" s="60"/>
      <c r="D181" s="60"/>
      <c r="E181" s="60"/>
      <c r="F181" s="60"/>
      <c r="G181" s="60"/>
      <c r="H181" s="60"/>
    </row>
    <row r="182">
      <c r="A182" s="12"/>
      <c r="B182" s="60"/>
      <c r="C182" s="60"/>
      <c r="D182" s="60"/>
      <c r="E182" s="60"/>
      <c r="F182" s="60"/>
      <c r="G182" s="60"/>
      <c r="H182" s="60"/>
    </row>
    <row r="183">
      <c r="A183" s="12"/>
      <c r="B183" s="60"/>
      <c r="C183" s="60"/>
      <c r="D183" s="60"/>
      <c r="E183" s="60"/>
      <c r="F183" s="60"/>
      <c r="G183" s="60"/>
      <c r="H183" s="60"/>
    </row>
    <row r="184">
      <c r="A184" s="12"/>
      <c r="B184" s="60"/>
      <c r="C184" s="60"/>
      <c r="D184" s="60"/>
      <c r="E184" s="60"/>
      <c r="F184" s="60"/>
      <c r="G184" s="60"/>
      <c r="H184" s="60"/>
    </row>
    <row r="185">
      <c r="A185" s="12"/>
      <c r="B185" s="60"/>
      <c r="C185" s="60"/>
      <c r="D185" s="60"/>
      <c r="E185" s="60"/>
      <c r="F185" s="60"/>
      <c r="G185" s="60"/>
      <c r="H185" s="60"/>
    </row>
    <row r="186">
      <c r="A186" s="12"/>
      <c r="B186" s="60"/>
      <c r="C186" s="60"/>
      <c r="D186" s="60"/>
      <c r="E186" s="60"/>
      <c r="F186" s="60"/>
      <c r="G186" s="60"/>
      <c r="H186" s="60"/>
    </row>
    <row r="187">
      <c r="A187" s="12"/>
      <c r="B187" s="60"/>
      <c r="C187" s="60"/>
      <c r="D187" s="60"/>
      <c r="E187" s="60"/>
      <c r="F187" s="60"/>
      <c r="G187" s="60"/>
      <c r="H187" s="60"/>
    </row>
    <row r="188">
      <c r="A188" s="12"/>
      <c r="B188" s="60"/>
      <c r="C188" s="60"/>
      <c r="D188" s="60"/>
      <c r="E188" s="60"/>
      <c r="F188" s="60"/>
      <c r="G188" s="60"/>
      <c r="H188" s="60"/>
    </row>
    <row r="189">
      <c r="A189" s="12"/>
      <c r="B189" s="60"/>
      <c r="C189" s="60"/>
      <c r="D189" s="60"/>
      <c r="E189" s="60"/>
      <c r="F189" s="60"/>
      <c r="G189" s="60"/>
      <c r="H189" s="60"/>
    </row>
    <row r="190">
      <c r="A190" s="12"/>
      <c r="B190" s="60"/>
      <c r="C190" s="60"/>
      <c r="D190" s="60"/>
      <c r="E190" s="60"/>
      <c r="F190" s="60"/>
      <c r="G190" s="60"/>
      <c r="H190" s="60"/>
    </row>
    <row r="191">
      <c r="A191" s="12"/>
      <c r="B191" s="60"/>
      <c r="C191" s="60"/>
      <c r="D191" s="60"/>
      <c r="E191" s="60"/>
      <c r="F191" s="60"/>
      <c r="G191" s="60"/>
      <c r="H191" s="60"/>
    </row>
    <row r="192">
      <c r="A192" s="12"/>
      <c r="B192" s="60"/>
      <c r="C192" s="60"/>
      <c r="D192" s="60"/>
      <c r="E192" s="60"/>
      <c r="F192" s="60"/>
      <c r="G192" s="60"/>
      <c r="H192" s="60"/>
    </row>
    <row r="193">
      <c r="A193" s="12"/>
      <c r="B193" s="60"/>
      <c r="C193" s="60"/>
      <c r="D193" s="60"/>
      <c r="E193" s="60"/>
      <c r="F193" s="60"/>
      <c r="G193" s="60"/>
      <c r="H193" s="60"/>
    </row>
    <row r="194">
      <c r="A194" s="12"/>
      <c r="B194" s="60"/>
      <c r="C194" s="60"/>
      <c r="D194" s="60"/>
      <c r="E194" s="60"/>
      <c r="F194" s="60"/>
      <c r="G194" s="60"/>
      <c r="H194" s="60"/>
    </row>
    <row r="195">
      <c r="A195" s="12"/>
      <c r="B195" s="60"/>
      <c r="C195" s="60"/>
      <c r="D195" s="60"/>
      <c r="E195" s="60"/>
      <c r="F195" s="60"/>
      <c r="G195" s="60"/>
      <c r="H195" s="60"/>
    </row>
    <row r="196">
      <c r="A196" s="12"/>
      <c r="B196" s="60"/>
      <c r="C196" s="60"/>
      <c r="D196" s="60"/>
      <c r="E196" s="60"/>
      <c r="F196" s="60"/>
      <c r="G196" s="60"/>
      <c r="H196" s="60"/>
    </row>
    <row r="197">
      <c r="A197" s="12"/>
      <c r="B197" s="60"/>
      <c r="C197" s="60"/>
      <c r="D197" s="60"/>
      <c r="E197" s="60"/>
      <c r="F197" s="60"/>
      <c r="G197" s="60"/>
      <c r="H197" s="60"/>
    </row>
    <row r="198">
      <c r="A198" s="12"/>
      <c r="B198" s="60"/>
      <c r="C198" s="60"/>
      <c r="D198" s="60"/>
      <c r="E198" s="60"/>
      <c r="F198" s="60"/>
      <c r="G198" s="60"/>
      <c r="H198" s="60"/>
    </row>
    <row r="199">
      <c r="A199" s="12"/>
      <c r="B199" s="60"/>
      <c r="C199" s="60"/>
      <c r="D199" s="60"/>
      <c r="E199" s="60"/>
      <c r="F199" s="60"/>
      <c r="G199" s="60"/>
      <c r="H199" s="60"/>
    </row>
    <row r="200">
      <c r="A200" s="12"/>
      <c r="B200" s="60"/>
      <c r="C200" s="60"/>
      <c r="D200" s="60"/>
      <c r="E200" s="60"/>
      <c r="F200" s="60"/>
      <c r="G200" s="60"/>
      <c r="H200" s="60"/>
    </row>
    <row r="201">
      <c r="A201" s="12"/>
      <c r="B201" s="60"/>
      <c r="C201" s="60"/>
      <c r="D201" s="60"/>
      <c r="E201" s="60"/>
      <c r="F201" s="60"/>
      <c r="G201" s="60"/>
      <c r="H201" s="60"/>
    </row>
    <row r="202">
      <c r="A202" s="12"/>
      <c r="B202" s="60"/>
      <c r="C202" s="60"/>
      <c r="D202" s="60"/>
      <c r="E202" s="60"/>
      <c r="F202" s="60"/>
      <c r="G202" s="60"/>
      <c r="H202" s="60"/>
    </row>
    <row r="203">
      <c r="A203" s="12"/>
      <c r="B203" s="60"/>
      <c r="C203" s="60"/>
      <c r="D203" s="60"/>
      <c r="E203" s="60"/>
      <c r="F203" s="60"/>
      <c r="G203" s="60"/>
      <c r="H203" s="60"/>
    </row>
    <row r="204">
      <c r="A204" s="12"/>
      <c r="B204" s="60"/>
      <c r="C204" s="60"/>
      <c r="D204" s="60"/>
      <c r="E204" s="60"/>
      <c r="F204" s="60"/>
      <c r="G204" s="60"/>
      <c r="H204" s="60"/>
    </row>
    <row r="205">
      <c r="A205" s="12"/>
      <c r="B205" s="60"/>
      <c r="C205" s="60"/>
      <c r="D205" s="60"/>
      <c r="E205" s="60"/>
      <c r="F205" s="60"/>
      <c r="G205" s="60"/>
      <c r="H205" s="60"/>
    </row>
    <row r="206">
      <c r="A206" s="12"/>
      <c r="B206" s="60"/>
      <c r="C206" s="60"/>
      <c r="D206" s="60"/>
      <c r="E206" s="60"/>
      <c r="F206" s="60"/>
      <c r="G206" s="60"/>
      <c r="H206" s="60"/>
    </row>
    <row r="207">
      <c r="A207" s="12"/>
      <c r="B207" s="60"/>
      <c r="C207" s="60"/>
      <c r="D207" s="60"/>
      <c r="E207" s="60"/>
      <c r="F207" s="60"/>
      <c r="G207" s="60"/>
      <c r="H207" s="60"/>
    </row>
    <row r="208">
      <c r="A208" s="12"/>
      <c r="B208" s="60"/>
      <c r="C208" s="60"/>
      <c r="D208" s="60"/>
      <c r="E208" s="60"/>
      <c r="F208" s="60"/>
      <c r="G208" s="60"/>
      <c r="H208" s="60"/>
    </row>
    <row r="209">
      <c r="A209" s="12"/>
      <c r="B209" s="60"/>
      <c r="C209" s="60"/>
      <c r="D209" s="60"/>
      <c r="E209" s="60"/>
      <c r="F209" s="60"/>
      <c r="G209" s="60"/>
      <c r="H209" s="60"/>
    </row>
    <row r="210">
      <c r="A210" s="12"/>
      <c r="B210" s="60"/>
      <c r="C210" s="60"/>
      <c r="D210" s="60"/>
      <c r="E210" s="60"/>
      <c r="F210" s="60"/>
      <c r="G210" s="60"/>
      <c r="H210" s="60"/>
    </row>
    <row r="211">
      <c r="A211" s="12"/>
      <c r="B211" s="60"/>
      <c r="C211" s="60"/>
      <c r="D211" s="60"/>
      <c r="E211" s="60"/>
      <c r="F211" s="60"/>
      <c r="G211" s="60"/>
      <c r="H211" s="60"/>
    </row>
    <row r="212">
      <c r="A212" s="12"/>
      <c r="B212" s="60"/>
      <c r="C212" s="60"/>
      <c r="D212" s="60"/>
      <c r="E212" s="60"/>
      <c r="F212" s="60"/>
      <c r="G212" s="60"/>
      <c r="H212" s="60"/>
    </row>
    <row r="213">
      <c r="A213" s="12"/>
      <c r="B213" s="60"/>
      <c r="C213" s="60"/>
      <c r="D213" s="60"/>
      <c r="E213" s="60"/>
      <c r="F213" s="60"/>
      <c r="G213" s="60"/>
      <c r="H213" s="60"/>
    </row>
    <row r="214">
      <c r="A214" s="12"/>
      <c r="B214" s="60"/>
      <c r="C214" s="60"/>
      <c r="D214" s="60"/>
      <c r="E214" s="60"/>
      <c r="F214" s="60"/>
      <c r="G214" s="60"/>
      <c r="H214" s="60"/>
    </row>
    <row r="215">
      <c r="A215" s="12"/>
      <c r="B215" s="60"/>
      <c r="C215" s="60"/>
      <c r="D215" s="60"/>
      <c r="E215" s="60"/>
      <c r="F215" s="60"/>
      <c r="G215" s="60"/>
      <c r="H215" s="60"/>
    </row>
    <row r="216">
      <c r="A216" s="12"/>
      <c r="B216" s="60"/>
      <c r="C216" s="60"/>
      <c r="D216" s="60"/>
      <c r="E216" s="60"/>
      <c r="F216" s="60"/>
      <c r="G216" s="60"/>
      <c r="H216" s="60"/>
    </row>
    <row r="217">
      <c r="A217" s="12"/>
      <c r="B217" s="60"/>
      <c r="C217" s="60"/>
      <c r="D217" s="60"/>
      <c r="E217" s="60"/>
      <c r="F217" s="60"/>
      <c r="G217" s="60"/>
      <c r="H217" s="60"/>
    </row>
    <row r="218">
      <c r="A218" s="12"/>
      <c r="B218" s="60"/>
      <c r="C218" s="60"/>
      <c r="D218" s="60"/>
      <c r="E218" s="60"/>
      <c r="F218" s="60"/>
      <c r="G218" s="60"/>
      <c r="H218" s="60"/>
    </row>
    <row r="219">
      <c r="A219" s="12"/>
      <c r="B219" s="60"/>
      <c r="C219" s="60"/>
      <c r="D219" s="60"/>
      <c r="E219" s="60"/>
      <c r="F219" s="60"/>
      <c r="G219" s="60"/>
      <c r="H219" s="60"/>
    </row>
    <row r="220">
      <c r="A220" s="12"/>
      <c r="B220" s="60"/>
      <c r="C220" s="60"/>
      <c r="D220" s="60"/>
      <c r="E220" s="60"/>
      <c r="F220" s="60"/>
      <c r="G220" s="60"/>
      <c r="H220" s="60"/>
    </row>
    <row r="221">
      <c r="A221" s="12"/>
      <c r="B221" s="60"/>
      <c r="C221" s="60"/>
      <c r="D221" s="60"/>
      <c r="E221" s="60"/>
      <c r="F221" s="60"/>
      <c r="G221" s="60"/>
      <c r="H221" s="60"/>
    </row>
    <row r="222">
      <c r="A222" s="12"/>
      <c r="B222" s="60"/>
      <c r="C222" s="60"/>
      <c r="D222" s="60"/>
      <c r="E222" s="60"/>
      <c r="F222" s="60"/>
      <c r="G222" s="60"/>
      <c r="H222" s="60"/>
    </row>
    <row r="223">
      <c r="A223" s="12"/>
      <c r="B223" s="60"/>
      <c r="C223" s="60"/>
      <c r="D223" s="60"/>
      <c r="E223" s="60"/>
      <c r="F223" s="60"/>
      <c r="G223" s="60"/>
      <c r="H223" s="60"/>
    </row>
    <row r="224">
      <c r="A224" s="12"/>
      <c r="B224" s="60"/>
      <c r="C224" s="60"/>
      <c r="D224" s="60"/>
      <c r="E224" s="60"/>
      <c r="F224" s="60"/>
      <c r="G224" s="60"/>
      <c r="H224" s="60"/>
    </row>
    <row r="225">
      <c r="A225" s="12"/>
      <c r="B225" s="60"/>
      <c r="C225" s="60"/>
      <c r="D225" s="60"/>
      <c r="E225" s="60"/>
      <c r="F225" s="60"/>
      <c r="G225" s="60"/>
      <c r="H225" s="60"/>
    </row>
    <row r="226">
      <c r="A226" s="12"/>
      <c r="B226" s="60"/>
      <c r="C226" s="60"/>
      <c r="D226" s="60"/>
      <c r="E226" s="60"/>
      <c r="F226" s="60"/>
      <c r="G226" s="60"/>
      <c r="H226" s="60"/>
    </row>
    <row r="227">
      <c r="A227" s="12"/>
      <c r="B227" s="60"/>
      <c r="C227" s="60"/>
      <c r="D227" s="60"/>
      <c r="E227" s="60"/>
      <c r="F227" s="60"/>
      <c r="G227" s="60"/>
      <c r="H227" s="60"/>
    </row>
    <row r="228">
      <c r="A228" s="12"/>
      <c r="B228" s="60"/>
      <c r="C228" s="60"/>
      <c r="D228" s="60"/>
      <c r="E228" s="60"/>
      <c r="F228" s="60"/>
      <c r="G228" s="60"/>
      <c r="H228" s="60"/>
    </row>
    <row r="229">
      <c r="A229" s="12"/>
      <c r="B229" s="60"/>
      <c r="C229" s="60"/>
      <c r="D229" s="60"/>
      <c r="E229" s="60"/>
      <c r="F229" s="60"/>
      <c r="G229" s="60"/>
      <c r="H229" s="60"/>
    </row>
    <row r="230">
      <c r="A230" s="12"/>
      <c r="B230" s="60"/>
      <c r="C230" s="60"/>
      <c r="D230" s="60"/>
      <c r="E230" s="60"/>
      <c r="F230" s="60"/>
      <c r="G230" s="60"/>
      <c r="H230" s="60"/>
    </row>
    <row r="231">
      <c r="A231" s="12"/>
      <c r="B231" s="60"/>
      <c r="C231" s="60"/>
      <c r="D231" s="60"/>
      <c r="E231" s="60"/>
      <c r="F231" s="60"/>
      <c r="G231" s="60"/>
      <c r="H231" s="60"/>
    </row>
    <row r="232">
      <c r="A232" s="12"/>
      <c r="B232" s="60"/>
      <c r="C232" s="60"/>
      <c r="D232" s="60"/>
      <c r="E232" s="60"/>
      <c r="F232" s="60"/>
      <c r="G232" s="60"/>
      <c r="H232" s="60"/>
    </row>
    <row r="233">
      <c r="A233" s="12"/>
      <c r="B233" s="60"/>
      <c r="C233" s="60"/>
      <c r="D233" s="60"/>
      <c r="E233" s="60"/>
      <c r="F233" s="60"/>
      <c r="G233" s="60"/>
      <c r="H233" s="60"/>
    </row>
    <row r="234">
      <c r="A234" s="12"/>
      <c r="B234" s="60"/>
      <c r="C234" s="60"/>
      <c r="D234" s="60"/>
      <c r="E234" s="60"/>
      <c r="F234" s="60"/>
      <c r="G234" s="60"/>
      <c r="H234" s="60"/>
    </row>
    <row r="235">
      <c r="A235" s="12"/>
      <c r="B235" s="60"/>
      <c r="C235" s="60"/>
      <c r="D235" s="60"/>
      <c r="E235" s="60"/>
      <c r="F235" s="60"/>
      <c r="G235" s="60"/>
      <c r="H235" s="60"/>
    </row>
    <row r="236">
      <c r="A236" s="12"/>
      <c r="B236" s="60"/>
      <c r="C236" s="60"/>
      <c r="D236" s="60"/>
      <c r="E236" s="60"/>
      <c r="F236" s="60"/>
      <c r="G236" s="60"/>
      <c r="H236" s="60"/>
    </row>
    <row r="237">
      <c r="A237" s="12"/>
      <c r="B237" s="60"/>
      <c r="C237" s="60"/>
      <c r="D237" s="60"/>
      <c r="E237" s="60"/>
      <c r="F237" s="60"/>
      <c r="G237" s="60"/>
      <c r="H237" s="60"/>
    </row>
    <row r="238">
      <c r="A238" s="12"/>
      <c r="B238" s="60"/>
      <c r="C238" s="60"/>
      <c r="D238" s="60"/>
      <c r="E238" s="60"/>
      <c r="F238" s="60"/>
      <c r="G238" s="60"/>
      <c r="H238" s="60"/>
    </row>
    <row r="239">
      <c r="A239" s="12"/>
      <c r="B239" s="60"/>
      <c r="C239" s="60"/>
      <c r="D239" s="60"/>
      <c r="E239" s="60"/>
      <c r="F239" s="60"/>
      <c r="G239" s="60"/>
      <c r="H239" s="60"/>
    </row>
    <row r="240">
      <c r="A240" s="12"/>
      <c r="B240" s="60"/>
      <c r="C240" s="60"/>
      <c r="D240" s="60"/>
      <c r="E240" s="60"/>
      <c r="F240" s="60"/>
      <c r="G240" s="60"/>
      <c r="H240" s="60"/>
    </row>
    <row r="241">
      <c r="A241" s="12"/>
      <c r="B241" s="60"/>
      <c r="C241" s="60"/>
      <c r="D241" s="60"/>
      <c r="E241" s="60"/>
      <c r="F241" s="60"/>
      <c r="G241" s="60"/>
      <c r="H241" s="60"/>
    </row>
    <row r="242">
      <c r="A242" s="12"/>
      <c r="B242" s="60"/>
      <c r="C242" s="60"/>
      <c r="D242" s="60"/>
      <c r="E242" s="60"/>
      <c r="F242" s="60"/>
      <c r="G242" s="60"/>
      <c r="H242" s="60"/>
    </row>
    <row r="243">
      <c r="A243" s="12"/>
      <c r="B243" s="60"/>
      <c r="C243" s="60"/>
      <c r="D243" s="60"/>
      <c r="E243" s="60"/>
      <c r="F243" s="60"/>
      <c r="G243" s="60"/>
      <c r="H243" s="60"/>
    </row>
    <row r="244">
      <c r="A244" s="12"/>
      <c r="B244" s="60"/>
      <c r="C244" s="60"/>
      <c r="D244" s="60"/>
      <c r="E244" s="60"/>
      <c r="F244" s="60"/>
      <c r="G244" s="60"/>
      <c r="H244" s="60"/>
    </row>
    <row r="245">
      <c r="A245" s="12"/>
      <c r="B245" s="60"/>
      <c r="C245" s="60"/>
      <c r="D245" s="60"/>
      <c r="E245" s="60"/>
      <c r="F245" s="60"/>
      <c r="G245" s="60"/>
      <c r="H245" s="60"/>
    </row>
    <row r="246">
      <c r="A246" s="12"/>
      <c r="B246" s="60"/>
      <c r="C246" s="60"/>
      <c r="D246" s="60"/>
      <c r="E246" s="60"/>
      <c r="F246" s="60"/>
      <c r="G246" s="60"/>
      <c r="H246" s="60"/>
    </row>
    <row r="247">
      <c r="A247" s="12"/>
      <c r="B247" s="60"/>
      <c r="C247" s="60"/>
      <c r="D247" s="60"/>
      <c r="E247" s="60"/>
      <c r="F247" s="60"/>
      <c r="G247" s="60"/>
      <c r="H247" s="60"/>
    </row>
    <row r="248">
      <c r="A248" s="12"/>
      <c r="B248" s="60"/>
      <c r="C248" s="60"/>
      <c r="D248" s="60"/>
      <c r="E248" s="60"/>
      <c r="F248" s="60"/>
      <c r="G248" s="60"/>
      <c r="H248" s="60"/>
    </row>
    <row r="249">
      <c r="A249" s="12"/>
      <c r="B249" s="60"/>
      <c r="C249" s="60"/>
      <c r="D249" s="60"/>
      <c r="E249" s="60"/>
      <c r="F249" s="60"/>
      <c r="G249" s="60"/>
      <c r="H249" s="60"/>
    </row>
    <row r="250">
      <c r="A250" s="12"/>
      <c r="B250" s="60"/>
      <c r="C250" s="60"/>
      <c r="D250" s="60"/>
      <c r="E250" s="60"/>
      <c r="F250" s="60"/>
      <c r="G250" s="60"/>
      <c r="H250" s="60"/>
    </row>
    <row r="251">
      <c r="A251" s="12"/>
      <c r="B251" s="60"/>
      <c r="C251" s="60"/>
      <c r="D251" s="60"/>
      <c r="E251" s="60"/>
      <c r="F251" s="60"/>
      <c r="G251" s="60"/>
      <c r="H251" s="60"/>
    </row>
    <row r="252">
      <c r="A252" s="12"/>
      <c r="B252" s="60"/>
      <c r="C252" s="60"/>
      <c r="D252" s="60"/>
      <c r="E252" s="60"/>
      <c r="F252" s="60"/>
      <c r="G252" s="60"/>
      <c r="H252" s="60"/>
    </row>
    <row r="253">
      <c r="A253" s="12"/>
      <c r="B253" s="60"/>
      <c r="C253" s="60"/>
      <c r="D253" s="60"/>
      <c r="E253" s="60"/>
      <c r="F253" s="60"/>
      <c r="G253" s="60"/>
      <c r="H253" s="60"/>
    </row>
    <row r="254">
      <c r="A254" s="12"/>
      <c r="B254" s="60"/>
      <c r="C254" s="60"/>
      <c r="D254" s="60"/>
      <c r="E254" s="60"/>
      <c r="F254" s="60"/>
      <c r="G254" s="60"/>
      <c r="H254" s="60"/>
    </row>
    <row r="255">
      <c r="A255" s="12"/>
      <c r="B255" s="60"/>
      <c r="C255" s="60"/>
      <c r="D255" s="60"/>
      <c r="E255" s="60"/>
      <c r="F255" s="60"/>
      <c r="G255" s="60"/>
      <c r="H255" s="60"/>
    </row>
    <row r="256">
      <c r="A256" s="12"/>
      <c r="B256" s="60"/>
      <c r="C256" s="60"/>
      <c r="D256" s="60"/>
      <c r="E256" s="60"/>
      <c r="F256" s="60"/>
      <c r="G256" s="60"/>
      <c r="H256" s="60"/>
    </row>
    <row r="257">
      <c r="A257" s="12"/>
      <c r="B257" s="60"/>
      <c r="C257" s="60"/>
      <c r="D257" s="60"/>
      <c r="E257" s="60"/>
      <c r="F257" s="60"/>
      <c r="G257" s="60"/>
      <c r="H257" s="60"/>
    </row>
    <row r="258">
      <c r="A258" s="12"/>
      <c r="B258" s="60"/>
      <c r="C258" s="60"/>
      <c r="D258" s="60"/>
      <c r="E258" s="60"/>
      <c r="F258" s="60"/>
      <c r="G258" s="60"/>
      <c r="H258" s="60"/>
    </row>
    <row r="259">
      <c r="A259" s="12"/>
      <c r="B259" s="60"/>
      <c r="C259" s="60"/>
      <c r="D259" s="60"/>
      <c r="E259" s="60"/>
      <c r="F259" s="60"/>
      <c r="G259" s="60"/>
      <c r="H259" s="60"/>
    </row>
    <row r="260">
      <c r="A260" s="12"/>
      <c r="B260" s="60"/>
      <c r="C260" s="60"/>
      <c r="D260" s="60"/>
      <c r="E260" s="60"/>
      <c r="F260" s="60"/>
      <c r="G260" s="60"/>
      <c r="H260" s="60"/>
    </row>
    <row r="261">
      <c r="A261" s="12"/>
      <c r="B261" s="60"/>
      <c r="C261" s="60"/>
      <c r="D261" s="60"/>
      <c r="E261" s="60"/>
      <c r="F261" s="60"/>
      <c r="G261" s="60"/>
      <c r="H261" s="60"/>
    </row>
    <row r="262">
      <c r="A262" s="12"/>
      <c r="B262" s="60"/>
      <c r="C262" s="60"/>
      <c r="D262" s="60"/>
      <c r="E262" s="60"/>
      <c r="F262" s="60"/>
      <c r="G262" s="60"/>
      <c r="H262" s="60"/>
    </row>
    <row r="263">
      <c r="A263" s="12"/>
      <c r="B263" s="60"/>
      <c r="C263" s="60"/>
      <c r="D263" s="60"/>
      <c r="E263" s="60"/>
      <c r="F263" s="60"/>
      <c r="G263" s="60"/>
      <c r="H263" s="60"/>
    </row>
    <row r="264">
      <c r="A264" s="12"/>
      <c r="B264" s="60"/>
      <c r="C264" s="60"/>
      <c r="D264" s="60"/>
      <c r="E264" s="60"/>
      <c r="F264" s="60"/>
      <c r="G264" s="60"/>
      <c r="H264" s="60"/>
    </row>
    <row r="265">
      <c r="A265" s="12"/>
      <c r="B265" s="60"/>
      <c r="C265" s="60"/>
      <c r="D265" s="60"/>
      <c r="E265" s="60"/>
      <c r="F265" s="60"/>
      <c r="G265" s="60"/>
      <c r="H265" s="60"/>
    </row>
    <row r="266">
      <c r="A266" s="12"/>
      <c r="B266" s="60"/>
      <c r="C266" s="60"/>
      <c r="D266" s="60"/>
      <c r="E266" s="60"/>
      <c r="F266" s="60"/>
      <c r="G266" s="60"/>
      <c r="H266" s="60"/>
    </row>
    <row r="267">
      <c r="A267" s="12"/>
      <c r="B267" s="60"/>
      <c r="C267" s="60"/>
      <c r="D267" s="60"/>
      <c r="E267" s="60"/>
      <c r="F267" s="60"/>
      <c r="G267" s="60"/>
      <c r="H267" s="60"/>
    </row>
    <row r="268">
      <c r="A268" s="12"/>
      <c r="B268" s="60"/>
      <c r="C268" s="60"/>
      <c r="D268" s="60"/>
      <c r="E268" s="60"/>
      <c r="F268" s="60"/>
      <c r="G268" s="60"/>
      <c r="H268" s="60"/>
    </row>
    <row r="269">
      <c r="A269" s="12"/>
      <c r="B269" s="60"/>
      <c r="C269" s="60"/>
      <c r="D269" s="60"/>
      <c r="E269" s="60"/>
      <c r="F269" s="60"/>
      <c r="G269" s="60"/>
      <c r="H269" s="60"/>
    </row>
    <row r="270">
      <c r="A270" s="12"/>
      <c r="B270" s="60"/>
      <c r="C270" s="60"/>
      <c r="D270" s="60"/>
      <c r="E270" s="60"/>
      <c r="F270" s="60"/>
      <c r="G270" s="60"/>
      <c r="H270" s="60"/>
    </row>
    <row r="271">
      <c r="A271" s="12"/>
      <c r="B271" s="60"/>
      <c r="C271" s="60"/>
      <c r="D271" s="60"/>
      <c r="E271" s="60"/>
      <c r="F271" s="60"/>
      <c r="G271" s="60"/>
      <c r="H271" s="60"/>
    </row>
    <row r="272">
      <c r="A272" s="12"/>
      <c r="B272" s="60"/>
      <c r="C272" s="60"/>
      <c r="D272" s="60"/>
      <c r="E272" s="60"/>
      <c r="F272" s="60"/>
      <c r="G272" s="60"/>
      <c r="H272" s="60"/>
    </row>
    <row r="273">
      <c r="A273" s="12"/>
      <c r="B273" s="60"/>
      <c r="C273" s="60"/>
      <c r="D273" s="60"/>
      <c r="E273" s="60"/>
      <c r="F273" s="60"/>
      <c r="G273" s="60"/>
      <c r="H273" s="60"/>
    </row>
    <row r="274">
      <c r="A274" s="12"/>
      <c r="B274" s="60"/>
      <c r="C274" s="60"/>
      <c r="D274" s="60"/>
      <c r="E274" s="60"/>
      <c r="F274" s="60"/>
      <c r="G274" s="60"/>
      <c r="H274" s="60"/>
    </row>
    <row r="275">
      <c r="A275" s="12"/>
      <c r="B275" s="60"/>
      <c r="C275" s="60"/>
      <c r="D275" s="60"/>
      <c r="E275" s="60"/>
      <c r="F275" s="60"/>
      <c r="G275" s="60"/>
      <c r="H275" s="60"/>
    </row>
    <row r="276">
      <c r="A276" s="12"/>
      <c r="B276" s="60"/>
      <c r="C276" s="60"/>
      <c r="D276" s="60"/>
      <c r="E276" s="60"/>
      <c r="F276" s="60"/>
      <c r="G276" s="60"/>
      <c r="H276" s="60"/>
    </row>
    <row r="277">
      <c r="A277" s="12"/>
      <c r="B277" s="60"/>
      <c r="C277" s="60"/>
      <c r="D277" s="60"/>
      <c r="E277" s="60"/>
      <c r="F277" s="60"/>
      <c r="G277" s="60"/>
      <c r="H277" s="60"/>
    </row>
    <row r="278">
      <c r="A278" s="12"/>
      <c r="B278" s="60"/>
      <c r="C278" s="60"/>
      <c r="D278" s="60"/>
      <c r="E278" s="60"/>
      <c r="F278" s="60"/>
      <c r="G278" s="60"/>
      <c r="H278" s="60"/>
    </row>
    <row r="279">
      <c r="A279" s="12"/>
      <c r="B279" s="60"/>
      <c r="C279" s="60"/>
      <c r="D279" s="60"/>
      <c r="E279" s="60"/>
      <c r="F279" s="60"/>
      <c r="G279" s="60"/>
      <c r="H279" s="60"/>
    </row>
    <row r="280">
      <c r="A280" s="12"/>
      <c r="B280" s="60"/>
      <c r="C280" s="60"/>
      <c r="D280" s="60"/>
      <c r="E280" s="60"/>
      <c r="F280" s="60"/>
      <c r="G280" s="60"/>
      <c r="H280" s="60"/>
    </row>
    <row r="281">
      <c r="A281" s="12"/>
      <c r="B281" s="60"/>
      <c r="C281" s="60"/>
      <c r="D281" s="60"/>
      <c r="E281" s="60"/>
      <c r="F281" s="60"/>
      <c r="G281" s="60"/>
      <c r="H281" s="60"/>
    </row>
    <row r="282">
      <c r="A282" s="12"/>
      <c r="B282" s="60"/>
      <c r="C282" s="60"/>
      <c r="D282" s="60"/>
      <c r="E282" s="60"/>
      <c r="F282" s="60"/>
      <c r="G282" s="60"/>
      <c r="H282" s="60"/>
    </row>
    <row r="283">
      <c r="A283" s="12"/>
      <c r="B283" s="60"/>
      <c r="C283" s="60"/>
      <c r="D283" s="60"/>
      <c r="E283" s="60"/>
      <c r="F283" s="60"/>
      <c r="G283" s="60"/>
      <c r="H283" s="60"/>
    </row>
    <row r="284">
      <c r="A284" s="12"/>
      <c r="B284" s="60"/>
      <c r="C284" s="60"/>
      <c r="D284" s="60"/>
      <c r="E284" s="60"/>
      <c r="F284" s="60"/>
      <c r="G284" s="60"/>
      <c r="H284" s="60"/>
    </row>
    <row r="285">
      <c r="A285" s="12"/>
      <c r="B285" s="60"/>
      <c r="C285" s="60"/>
      <c r="D285" s="60"/>
      <c r="E285" s="60"/>
      <c r="F285" s="60"/>
      <c r="G285" s="60"/>
      <c r="H285" s="60"/>
    </row>
    <row r="286">
      <c r="A286" s="12"/>
      <c r="B286" s="60"/>
      <c r="C286" s="60"/>
      <c r="D286" s="60"/>
      <c r="E286" s="60"/>
      <c r="F286" s="60"/>
      <c r="G286" s="60"/>
      <c r="H286" s="60"/>
    </row>
    <row r="287">
      <c r="A287" s="12"/>
      <c r="B287" s="60"/>
      <c r="C287" s="60"/>
      <c r="D287" s="60"/>
      <c r="E287" s="60"/>
      <c r="F287" s="60"/>
      <c r="G287" s="60"/>
      <c r="H287" s="60"/>
    </row>
    <row r="288">
      <c r="A288" s="12"/>
      <c r="B288" s="60"/>
      <c r="C288" s="60"/>
      <c r="D288" s="60"/>
      <c r="E288" s="60"/>
      <c r="F288" s="60"/>
      <c r="G288" s="60"/>
      <c r="H288" s="60"/>
    </row>
    <row r="289">
      <c r="A289" s="12"/>
      <c r="B289" s="60"/>
      <c r="C289" s="60"/>
      <c r="D289" s="60"/>
      <c r="E289" s="60"/>
      <c r="F289" s="60"/>
      <c r="G289" s="60"/>
      <c r="H289" s="60"/>
    </row>
    <row r="290">
      <c r="A290" s="12"/>
      <c r="B290" s="60"/>
      <c r="C290" s="60"/>
      <c r="D290" s="60"/>
      <c r="E290" s="60"/>
      <c r="F290" s="60"/>
      <c r="G290" s="60"/>
      <c r="H290" s="60"/>
    </row>
    <row r="291">
      <c r="A291" s="12"/>
      <c r="B291" s="60"/>
      <c r="C291" s="60"/>
      <c r="D291" s="60"/>
      <c r="E291" s="60"/>
      <c r="F291" s="60"/>
      <c r="G291" s="60"/>
      <c r="H291" s="60"/>
    </row>
    <row r="292">
      <c r="A292" s="12"/>
      <c r="B292" s="60"/>
      <c r="C292" s="60"/>
      <c r="D292" s="60"/>
      <c r="E292" s="60"/>
      <c r="F292" s="60"/>
      <c r="G292" s="60"/>
      <c r="H292" s="60"/>
    </row>
    <row r="293">
      <c r="A293" s="12"/>
      <c r="B293" s="60"/>
      <c r="C293" s="60"/>
      <c r="D293" s="60"/>
      <c r="E293" s="60"/>
      <c r="F293" s="60"/>
      <c r="G293" s="60"/>
      <c r="H293" s="60"/>
    </row>
    <row r="294">
      <c r="A294" s="12"/>
      <c r="B294" s="60"/>
      <c r="C294" s="60"/>
      <c r="D294" s="60"/>
      <c r="E294" s="60"/>
      <c r="F294" s="60"/>
      <c r="G294" s="60"/>
      <c r="H294" s="60"/>
    </row>
    <row r="295">
      <c r="A295" s="12"/>
      <c r="B295" s="60"/>
      <c r="C295" s="60"/>
      <c r="D295" s="60"/>
      <c r="E295" s="60"/>
      <c r="F295" s="60"/>
      <c r="G295" s="60"/>
      <c r="H295" s="60"/>
    </row>
    <row r="296">
      <c r="A296" s="12"/>
      <c r="B296" s="60"/>
      <c r="C296" s="60"/>
      <c r="D296" s="60"/>
      <c r="E296" s="60"/>
      <c r="F296" s="60"/>
      <c r="G296" s="60"/>
      <c r="H296" s="60"/>
    </row>
    <row r="297">
      <c r="A297" s="12"/>
      <c r="B297" s="60"/>
      <c r="C297" s="60"/>
      <c r="D297" s="60"/>
      <c r="E297" s="60"/>
      <c r="F297" s="60"/>
      <c r="G297" s="60"/>
      <c r="H297" s="60"/>
    </row>
    <row r="298">
      <c r="A298" s="12"/>
      <c r="B298" s="60"/>
      <c r="C298" s="60"/>
      <c r="D298" s="60"/>
      <c r="E298" s="60"/>
      <c r="F298" s="60"/>
      <c r="G298" s="60"/>
      <c r="H298" s="60"/>
    </row>
    <row r="299">
      <c r="A299" s="12"/>
      <c r="B299" s="60"/>
      <c r="C299" s="60"/>
      <c r="D299" s="60"/>
      <c r="E299" s="60"/>
      <c r="F299" s="60"/>
      <c r="G299" s="60"/>
      <c r="H299" s="60"/>
    </row>
    <row r="300">
      <c r="A300" s="12"/>
      <c r="B300" s="60"/>
      <c r="C300" s="60"/>
      <c r="D300" s="60"/>
      <c r="E300" s="60"/>
      <c r="F300" s="60"/>
      <c r="G300" s="60"/>
      <c r="H300" s="60"/>
    </row>
    <row r="301">
      <c r="A301" s="12"/>
      <c r="B301" s="60"/>
      <c r="C301" s="60"/>
      <c r="D301" s="60"/>
      <c r="E301" s="60"/>
      <c r="F301" s="60"/>
      <c r="G301" s="60"/>
      <c r="H301" s="60"/>
    </row>
    <row r="302">
      <c r="A302" s="12"/>
      <c r="B302" s="60"/>
      <c r="C302" s="60"/>
      <c r="D302" s="60"/>
      <c r="E302" s="60"/>
      <c r="F302" s="60"/>
      <c r="G302" s="60"/>
      <c r="H302" s="60"/>
    </row>
    <row r="303">
      <c r="A303" s="12"/>
      <c r="B303" s="60"/>
      <c r="C303" s="60"/>
      <c r="D303" s="60"/>
      <c r="E303" s="60"/>
      <c r="F303" s="60"/>
      <c r="G303" s="60"/>
      <c r="H303" s="60"/>
    </row>
    <row r="304">
      <c r="A304" s="12"/>
      <c r="B304" s="60"/>
      <c r="C304" s="60"/>
      <c r="D304" s="60"/>
      <c r="E304" s="60"/>
      <c r="F304" s="60"/>
      <c r="G304" s="60"/>
      <c r="H304" s="60"/>
    </row>
    <row r="305">
      <c r="A305" s="12"/>
      <c r="B305" s="60"/>
      <c r="C305" s="60"/>
      <c r="D305" s="60"/>
      <c r="E305" s="60"/>
      <c r="F305" s="60"/>
      <c r="G305" s="60"/>
      <c r="H305" s="60"/>
    </row>
    <row r="306">
      <c r="A306" s="12"/>
      <c r="B306" s="60"/>
      <c r="C306" s="60"/>
      <c r="D306" s="60"/>
      <c r="E306" s="60"/>
      <c r="F306" s="60"/>
      <c r="G306" s="60"/>
      <c r="H306" s="60"/>
    </row>
    <row r="307">
      <c r="A307" s="12"/>
      <c r="B307" s="60"/>
      <c r="C307" s="60"/>
      <c r="D307" s="60"/>
      <c r="E307" s="60"/>
      <c r="F307" s="60"/>
      <c r="G307" s="60"/>
      <c r="H307" s="60"/>
    </row>
    <row r="308">
      <c r="A308" s="12"/>
      <c r="B308" s="60"/>
      <c r="C308" s="60"/>
      <c r="D308" s="60"/>
      <c r="E308" s="60"/>
      <c r="F308" s="60"/>
      <c r="G308" s="60"/>
      <c r="H308" s="60"/>
    </row>
    <row r="309">
      <c r="A309" s="12"/>
      <c r="B309" s="60"/>
      <c r="C309" s="60"/>
      <c r="D309" s="60"/>
      <c r="E309" s="60"/>
      <c r="F309" s="60"/>
      <c r="G309" s="60"/>
      <c r="H309" s="60"/>
    </row>
    <row r="310">
      <c r="A310" s="12"/>
      <c r="B310" s="60"/>
      <c r="C310" s="60"/>
      <c r="D310" s="60"/>
      <c r="E310" s="60"/>
      <c r="F310" s="60"/>
      <c r="G310" s="60"/>
      <c r="H310" s="60"/>
    </row>
    <row r="311">
      <c r="A311" s="12"/>
      <c r="B311" s="60"/>
      <c r="C311" s="60"/>
      <c r="D311" s="60"/>
      <c r="E311" s="60"/>
      <c r="F311" s="60"/>
      <c r="G311" s="60"/>
      <c r="H311" s="60"/>
    </row>
    <row r="312">
      <c r="A312" s="12"/>
      <c r="B312" s="60"/>
      <c r="C312" s="60"/>
      <c r="D312" s="60"/>
      <c r="E312" s="60"/>
      <c r="F312" s="60"/>
      <c r="G312" s="60"/>
      <c r="H312" s="60"/>
    </row>
    <row r="313">
      <c r="A313" s="12"/>
      <c r="B313" s="60"/>
      <c r="C313" s="60"/>
      <c r="D313" s="60"/>
      <c r="E313" s="60"/>
      <c r="F313" s="60"/>
      <c r="G313" s="60"/>
      <c r="H313" s="60"/>
    </row>
    <row r="314">
      <c r="A314" s="12"/>
      <c r="B314" s="60"/>
      <c r="C314" s="60"/>
      <c r="D314" s="60"/>
      <c r="E314" s="60"/>
      <c r="F314" s="60"/>
      <c r="G314" s="60"/>
      <c r="H314" s="60"/>
    </row>
    <row r="315">
      <c r="A315" s="12"/>
      <c r="B315" s="60"/>
      <c r="C315" s="60"/>
      <c r="D315" s="60"/>
      <c r="E315" s="60"/>
      <c r="F315" s="60"/>
      <c r="G315" s="60"/>
      <c r="H315" s="60"/>
    </row>
    <row r="316">
      <c r="A316" s="12"/>
      <c r="B316" s="60"/>
      <c r="C316" s="60"/>
      <c r="D316" s="60"/>
      <c r="E316" s="60"/>
      <c r="F316" s="60"/>
      <c r="G316" s="60"/>
      <c r="H316" s="60"/>
    </row>
    <row r="317">
      <c r="A317" s="12"/>
      <c r="B317" s="60"/>
      <c r="C317" s="60"/>
      <c r="D317" s="60"/>
      <c r="E317" s="60"/>
      <c r="F317" s="60"/>
      <c r="G317" s="60"/>
      <c r="H317" s="60"/>
    </row>
    <row r="318">
      <c r="A318" s="12"/>
      <c r="B318" s="60"/>
      <c r="C318" s="60"/>
      <c r="D318" s="60"/>
      <c r="E318" s="60"/>
      <c r="F318" s="60"/>
      <c r="G318" s="60"/>
      <c r="H318" s="60"/>
    </row>
    <row r="319">
      <c r="A319" s="12"/>
      <c r="B319" s="60"/>
      <c r="C319" s="60"/>
      <c r="D319" s="60"/>
      <c r="E319" s="60"/>
      <c r="F319" s="60"/>
      <c r="G319" s="60"/>
      <c r="H319" s="60"/>
    </row>
    <row r="320">
      <c r="A320" s="12"/>
      <c r="B320" s="60"/>
      <c r="C320" s="60"/>
      <c r="D320" s="60"/>
      <c r="E320" s="60"/>
      <c r="F320" s="60"/>
      <c r="G320" s="60"/>
      <c r="H320" s="60"/>
    </row>
    <row r="321">
      <c r="A321" s="12"/>
      <c r="B321" s="60"/>
      <c r="C321" s="60"/>
      <c r="D321" s="60"/>
      <c r="E321" s="60"/>
      <c r="F321" s="60"/>
      <c r="G321" s="60"/>
      <c r="H321" s="60"/>
    </row>
    <row r="322">
      <c r="A322" s="12"/>
      <c r="B322" s="60"/>
      <c r="C322" s="60"/>
      <c r="D322" s="60"/>
      <c r="E322" s="60"/>
      <c r="F322" s="60"/>
      <c r="G322" s="60"/>
      <c r="H322" s="60"/>
    </row>
    <row r="323">
      <c r="A323" s="12"/>
      <c r="B323" s="60"/>
      <c r="C323" s="60"/>
      <c r="D323" s="60"/>
      <c r="E323" s="60"/>
      <c r="F323" s="60"/>
      <c r="G323" s="60"/>
      <c r="H323" s="60"/>
    </row>
    <row r="324">
      <c r="A324" s="12"/>
      <c r="B324" s="60"/>
      <c r="C324" s="60"/>
      <c r="D324" s="60"/>
      <c r="E324" s="60"/>
      <c r="F324" s="60"/>
      <c r="G324" s="60"/>
      <c r="H324" s="60"/>
    </row>
    <row r="325">
      <c r="A325" s="12"/>
      <c r="B325" s="60"/>
      <c r="C325" s="60"/>
      <c r="D325" s="60"/>
      <c r="E325" s="60"/>
      <c r="F325" s="60"/>
      <c r="G325" s="60"/>
      <c r="H325" s="60"/>
    </row>
    <row r="326">
      <c r="A326" s="12"/>
      <c r="B326" s="60"/>
      <c r="C326" s="60"/>
      <c r="D326" s="60"/>
      <c r="E326" s="60"/>
      <c r="F326" s="60"/>
      <c r="G326" s="60"/>
      <c r="H326" s="60"/>
    </row>
    <row r="327">
      <c r="A327" s="12"/>
      <c r="B327" s="60"/>
      <c r="C327" s="60"/>
      <c r="D327" s="60"/>
      <c r="E327" s="60"/>
      <c r="F327" s="60"/>
      <c r="G327" s="60"/>
      <c r="H327" s="60"/>
    </row>
    <row r="328">
      <c r="A328" s="12"/>
      <c r="B328" s="60"/>
      <c r="C328" s="60"/>
      <c r="D328" s="60"/>
      <c r="E328" s="60"/>
      <c r="F328" s="60"/>
      <c r="G328" s="60"/>
      <c r="H328" s="60"/>
    </row>
    <row r="329">
      <c r="A329" s="12"/>
      <c r="B329" s="60"/>
      <c r="C329" s="60"/>
      <c r="D329" s="60"/>
      <c r="E329" s="60"/>
      <c r="F329" s="60"/>
      <c r="G329" s="60"/>
      <c r="H329" s="60"/>
    </row>
    <row r="330">
      <c r="A330" s="12"/>
      <c r="B330" s="60"/>
      <c r="C330" s="60"/>
      <c r="D330" s="60"/>
      <c r="E330" s="60"/>
      <c r="F330" s="60"/>
      <c r="G330" s="60"/>
      <c r="H330" s="60"/>
    </row>
    <row r="331">
      <c r="A331" s="12"/>
      <c r="B331" s="60"/>
      <c r="C331" s="60"/>
      <c r="D331" s="60"/>
      <c r="E331" s="60"/>
      <c r="F331" s="60"/>
      <c r="G331" s="60"/>
      <c r="H331" s="60"/>
    </row>
    <row r="332">
      <c r="A332" s="12"/>
      <c r="B332" s="60"/>
      <c r="C332" s="60"/>
      <c r="D332" s="60"/>
      <c r="E332" s="60"/>
      <c r="F332" s="60"/>
      <c r="G332" s="60"/>
      <c r="H332" s="60"/>
    </row>
    <row r="333">
      <c r="A333" s="12"/>
      <c r="B333" s="60"/>
      <c r="C333" s="60"/>
      <c r="D333" s="60"/>
      <c r="E333" s="60"/>
      <c r="F333" s="60"/>
      <c r="G333" s="60"/>
      <c r="H333" s="60"/>
    </row>
    <row r="334">
      <c r="A334" s="12"/>
      <c r="B334" s="60"/>
      <c r="C334" s="60"/>
      <c r="D334" s="60"/>
      <c r="E334" s="60"/>
      <c r="F334" s="60"/>
      <c r="G334" s="60"/>
      <c r="H334" s="60"/>
    </row>
    <row r="335">
      <c r="A335" s="12"/>
      <c r="B335" s="60"/>
      <c r="C335" s="60"/>
      <c r="D335" s="60"/>
      <c r="E335" s="60"/>
      <c r="F335" s="60"/>
      <c r="G335" s="60"/>
      <c r="H335" s="60"/>
    </row>
    <row r="336">
      <c r="A336" s="12"/>
      <c r="B336" s="60"/>
      <c r="C336" s="60"/>
      <c r="D336" s="60"/>
      <c r="E336" s="60"/>
      <c r="F336" s="60"/>
      <c r="G336" s="60"/>
      <c r="H336" s="60"/>
    </row>
    <row r="337">
      <c r="A337" s="12"/>
      <c r="B337" s="60"/>
      <c r="C337" s="60"/>
      <c r="D337" s="60"/>
      <c r="E337" s="60"/>
      <c r="F337" s="60"/>
      <c r="G337" s="60"/>
      <c r="H337" s="60"/>
    </row>
    <row r="338">
      <c r="A338" s="12"/>
      <c r="B338" s="60"/>
      <c r="C338" s="60"/>
      <c r="D338" s="60"/>
      <c r="E338" s="60"/>
      <c r="F338" s="60"/>
      <c r="G338" s="60"/>
      <c r="H338" s="60"/>
    </row>
    <row r="339">
      <c r="A339" s="12"/>
      <c r="B339" s="60"/>
      <c r="C339" s="60"/>
      <c r="D339" s="60"/>
      <c r="E339" s="60"/>
      <c r="F339" s="60"/>
      <c r="G339" s="60"/>
      <c r="H339" s="60"/>
    </row>
    <row r="340">
      <c r="A340" s="12"/>
      <c r="B340" s="60"/>
      <c r="C340" s="60"/>
      <c r="D340" s="60"/>
      <c r="E340" s="60"/>
      <c r="F340" s="60"/>
      <c r="G340" s="60"/>
      <c r="H340" s="60"/>
    </row>
    <row r="341">
      <c r="A341" s="12"/>
      <c r="B341" s="60"/>
      <c r="C341" s="60"/>
      <c r="D341" s="60"/>
      <c r="E341" s="60"/>
      <c r="F341" s="60"/>
      <c r="G341" s="60"/>
      <c r="H341" s="60"/>
    </row>
    <row r="342">
      <c r="A342" s="12"/>
      <c r="B342" s="60"/>
      <c r="C342" s="60"/>
      <c r="D342" s="60"/>
      <c r="E342" s="60"/>
      <c r="F342" s="60"/>
      <c r="G342" s="60"/>
      <c r="H342" s="60"/>
    </row>
    <row r="343">
      <c r="A343" s="12"/>
      <c r="B343" s="60"/>
      <c r="C343" s="60"/>
      <c r="D343" s="60"/>
      <c r="E343" s="60"/>
      <c r="F343" s="60"/>
      <c r="G343" s="60"/>
      <c r="H343" s="60"/>
    </row>
    <row r="344">
      <c r="A344" s="12"/>
      <c r="B344" s="60"/>
      <c r="C344" s="60"/>
      <c r="D344" s="60"/>
      <c r="E344" s="60"/>
      <c r="F344" s="60"/>
      <c r="G344" s="60"/>
      <c r="H344" s="60"/>
    </row>
    <row r="345">
      <c r="A345" s="12"/>
      <c r="B345" s="60"/>
      <c r="C345" s="60"/>
      <c r="D345" s="60"/>
      <c r="E345" s="60"/>
      <c r="F345" s="60"/>
      <c r="G345" s="60"/>
      <c r="H345" s="60"/>
    </row>
    <row r="346">
      <c r="A346" s="12"/>
      <c r="B346" s="60"/>
      <c r="C346" s="60"/>
      <c r="D346" s="60"/>
      <c r="E346" s="60"/>
      <c r="F346" s="60"/>
      <c r="G346" s="60"/>
      <c r="H346" s="60"/>
    </row>
    <row r="347">
      <c r="A347" s="12"/>
      <c r="B347" s="60"/>
      <c r="C347" s="60"/>
      <c r="D347" s="60"/>
      <c r="E347" s="60"/>
      <c r="F347" s="60"/>
      <c r="G347" s="60"/>
      <c r="H347" s="60"/>
    </row>
    <row r="348">
      <c r="A348" s="12"/>
      <c r="B348" s="60"/>
      <c r="C348" s="60"/>
      <c r="D348" s="60"/>
      <c r="E348" s="60"/>
      <c r="F348" s="60"/>
      <c r="G348" s="60"/>
      <c r="H348" s="60"/>
    </row>
    <row r="349">
      <c r="A349" s="12"/>
      <c r="B349" s="60"/>
      <c r="C349" s="60"/>
      <c r="D349" s="60"/>
      <c r="E349" s="60"/>
      <c r="F349" s="60"/>
      <c r="G349" s="60"/>
      <c r="H349" s="60"/>
    </row>
    <row r="350">
      <c r="A350" s="12"/>
      <c r="B350" s="60"/>
      <c r="C350" s="60"/>
      <c r="D350" s="60"/>
      <c r="E350" s="60"/>
      <c r="F350" s="60"/>
      <c r="G350" s="60"/>
      <c r="H350" s="60"/>
    </row>
    <row r="351">
      <c r="A351" s="12"/>
      <c r="B351" s="60"/>
      <c r="C351" s="60"/>
      <c r="D351" s="60"/>
      <c r="E351" s="60"/>
      <c r="F351" s="60"/>
      <c r="G351" s="60"/>
      <c r="H351" s="60"/>
    </row>
    <row r="352">
      <c r="A352" s="12"/>
      <c r="B352" s="60"/>
      <c r="C352" s="60"/>
      <c r="D352" s="60"/>
      <c r="E352" s="60"/>
      <c r="F352" s="60"/>
      <c r="G352" s="60"/>
      <c r="H352" s="60"/>
    </row>
    <row r="353">
      <c r="A353" s="12"/>
      <c r="B353" s="60"/>
      <c r="C353" s="60"/>
      <c r="D353" s="60"/>
      <c r="E353" s="60"/>
      <c r="F353" s="60"/>
      <c r="G353" s="60"/>
      <c r="H353" s="60"/>
    </row>
    <row r="354">
      <c r="A354" s="12"/>
      <c r="B354" s="60"/>
      <c r="C354" s="60"/>
      <c r="D354" s="60"/>
      <c r="E354" s="60"/>
      <c r="F354" s="60"/>
      <c r="G354" s="60"/>
      <c r="H354" s="60"/>
    </row>
    <row r="355">
      <c r="A355" s="12"/>
      <c r="B355" s="60"/>
      <c r="C355" s="60"/>
      <c r="D355" s="60"/>
      <c r="E355" s="60"/>
      <c r="F355" s="60"/>
      <c r="G355" s="60"/>
      <c r="H355" s="60"/>
    </row>
    <row r="356">
      <c r="A356" s="12"/>
      <c r="B356" s="60"/>
      <c r="C356" s="60"/>
      <c r="D356" s="60"/>
      <c r="E356" s="60"/>
      <c r="F356" s="60"/>
      <c r="G356" s="60"/>
      <c r="H356" s="60"/>
    </row>
    <row r="357">
      <c r="A357" s="12"/>
      <c r="B357" s="60"/>
      <c r="C357" s="60"/>
      <c r="D357" s="60"/>
      <c r="E357" s="60"/>
      <c r="F357" s="60"/>
      <c r="G357" s="60"/>
      <c r="H357" s="60"/>
    </row>
    <row r="358">
      <c r="A358" s="12"/>
      <c r="B358" s="60"/>
      <c r="C358" s="60"/>
      <c r="D358" s="60"/>
      <c r="E358" s="60"/>
      <c r="F358" s="60"/>
      <c r="G358" s="60"/>
      <c r="H358" s="60"/>
    </row>
    <row r="359">
      <c r="A359" s="12"/>
      <c r="B359" s="60"/>
      <c r="C359" s="60"/>
      <c r="D359" s="60"/>
      <c r="E359" s="60"/>
      <c r="F359" s="60"/>
      <c r="G359" s="60"/>
      <c r="H359" s="60"/>
    </row>
    <row r="360">
      <c r="A360" s="12"/>
      <c r="B360" s="60"/>
      <c r="C360" s="60"/>
      <c r="D360" s="60"/>
      <c r="E360" s="60"/>
      <c r="F360" s="60"/>
      <c r="G360" s="60"/>
      <c r="H360" s="60"/>
    </row>
    <row r="361">
      <c r="A361" s="12"/>
      <c r="B361" s="60"/>
      <c r="C361" s="60"/>
      <c r="D361" s="60"/>
      <c r="E361" s="60"/>
      <c r="F361" s="60"/>
      <c r="G361" s="60"/>
      <c r="H361" s="60"/>
    </row>
    <row r="362">
      <c r="A362" s="12"/>
      <c r="B362" s="60"/>
      <c r="C362" s="60"/>
      <c r="D362" s="60"/>
      <c r="E362" s="60"/>
      <c r="F362" s="60"/>
      <c r="G362" s="60"/>
      <c r="H362" s="60"/>
    </row>
    <row r="363">
      <c r="A363" s="12"/>
      <c r="B363" s="60"/>
      <c r="C363" s="60"/>
      <c r="D363" s="60"/>
      <c r="E363" s="60"/>
      <c r="F363" s="60"/>
      <c r="G363" s="60"/>
      <c r="H363" s="60"/>
    </row>
    <row r="364">
      <c r="A364" s="12"/>
      <c r="B364" s="60"/>
      <c r="C364" s="60"/>
      <c r="D364" s="60"/>
      <c r="E364" s="60"/>
      <c r="F364" s="60"/>
      <c r="G364" s="60"/>
      <c r="H364" s="60"/>
    </row>
    <row r="365">
      <c r="A365" s="12"/>
      <c r="B365" s="60"/>
      <c r="C365" s="60"/>
      <c r="D365" s="60"/>
      <c r="E365" s="60"/>
      <c r="F365" s="60"/>
      <c r="G365" s="60"/>
      <c r="H365" s="60"/>
    </row>
    <row r="366">
      <c r="A366" s="12"/>
      <c r="B366" s="60"/>
      <c r="C366" s="60"/>
      <c r="D366" s="60"/>
      <c r="E366" s="60"/>
      <c r="F366" s="60"/>
      <c r="G366" s="60"/>
      <c r="H366" s="60"/>
    </row>
    <row r="367">
      <c r="A367" s="12"/>
      <c r="B367" s="60"/>
      <c r="C367" s="60"/>
      <c r="D367" s="60"/>
      <c r="E367" s="60"/>
      <c r="F367" s="60"/>
      <c r="G367" s="60"/>
      <c r="H367" s="60"/>
    </row>
    <row r="368">
      <c r="A368" s="12"/>
      <c r="B368" s="60"/>
      <c r="C368" s="60"/>
      <c r="D368" s="60"/>
      <c r="E368" s="60"/>
      <c r="F368" s="60"/>
      <c r="G368" s="60"/>
      <c r="H368" s="60"/>
    </row>
    <row r="369">
      <c r="A369" s="12"/>
      <c r="B369" s="60"/>
      <c r="C369" s="60"/>
      <c r="D369" s="60"/>
      <c r="E369" s="60"/>
      <c r="F369" s="60"/>
      <c r="G369" s="60"/>
      <c r="H369" s="60"/>
    </row>
    <row r="370">
      <c r="A370" s="12"/>
      <c r="B370" s="60"/>
      <c r="C370" s="60"/>
      <c r="D370" s="60"/>
      <c r="E370" s="60"/>
      <c r="F370" s="60"/>
      <c r="G370" s="60"/>
      <c r="H370" s="60"/>
    </row>
    <row r="371">
      <c r="A371" s="12"/>
      <c r="B371" s="60"/>
      <c r="C371" s="60"/>
      <c r="D371" s="60"/>
      <c r="E371" s="60"/>
      <c r="F371" s="60"/>
      <c r="G371" s="60"/>
      <c r="H371" s="60"/>
    </row>
    <row r="372">
      <c r="A372" s="12"/>
      <c r="B372" s="60"/>
      <c r="C372" s="60"/>
      <c r="D372" s="60"/>
      <c r="E372" s="60"/>
      <c r="F372" s="60"/>
      <c r="G372" s="60"/>
      <c r="H372" s="60"/>
    </row>
    <row r="373">
      <c r="A373" s="12"/>
      <c r="B373" s="60"/>
      <c r="C373" s="60"/>
      <c r="D373" s="60"/>
      <c r="E373" s="60"/>
      <c r="F373" s="60"/>
      <c r="G373" s="60"/>
      <c r="H373" s="60"/>
    </row>
    <row r="374">
      <c r="A374" s="12"/>
      <c r="B374" s="60"/>
      <c r="C374" s="60"/>
      <c r="D374" s="60"/>
      <c r="E374" s="60"/>
      <c r="F374" s="60"/>
      <c r="G374" s="60"/>
      <c r="H374" s="60"/>
    </row>
    <row r="375">
      <c r="A375" s="12"/>
      <c r="B375" s="60"/>
      <c r="C375" s="60"/>
      <c r="D375" s="60"/>
      <c r="E375" s="60"/>
      <c r="F375" s="60"/>
      <c r="G375" s="60"/>
      <c r="H375" s="60"/>
    </row>
    <row r="376">
      <c r="A376" s="12"/>
      <c r="B376" s="60"/>
      <c r="C376" s="60"/>
      <c r="D376" s="60"/>
      <c r="E376" s="60"/>
      <c r="F376" s="60"/>
      <c r="G376" s="60"/>
      <c r="H376" s="60"/>
    </row>
    <row r="377">
      <c r="A377" s="12"/>
      <c r="B377" s="60"/>
      <c r="C377" s="60"/>
      <c r="D377" s="60"/>
      <c r="E377" s="60"/>
      <c r="F377" s="60"/>
      <c r="G377" s="60"/>
      <c r="H377" s="60"/>
    </row>
    <row r="378">
      <c r="A378" s="12"/>
      <c r="B378" s="60"/>
      <c r="C378" s="60"/>
      <c r="D378" s="60"/>
      <c r="E378" s="60"/>
      <c r="F378" s="60"/>
      <c r="G378" s="60"/>
      <c r="H378" s="60"/>
    </row>
    <row r="379">
      <c r="A379" s="12"/>
      <c r="B379" s="60"/>
      <c r="C379" s="60"/>
      <c r="D379" s="60"/>
      <c r="E379" s="60"/>
      <c r="F379" s="60"/>
      <c r="G379" s="60"/>
      <c r="H379" s="60"/>
    </row>
    <row r="380">
      <c r="A380" s="12"/>
      <c r="B380" s="60"/>
      <c r="C380" s="60"/>
      <c r="D380" s="60"/>
      <c r="E380" s="60"/>
      <c r="F380" s="60"/>
      <c r="G380" s="60"/>
      <c r="H380" s="60"/>
    </row>
    <row r="381">
      <c r="A381" s="12"/>
      <c r="B381" s="60"/>
      <c r="C381" s="60"/>
      <c r="D381" s="60"/>
      <c r="E381" s="60"/>
      <c r="F381" s="60"/>
      <c r="G381" s="60"/>
      <c r="H381" s="60"/>
    </row>
    <row r="382">
      <c r="A382" s="12"/>
      <c r="B382" s="60"/>
      <c r="C382" s="60"/>
      <c r="D382" s="60"/>
      <c r="E382" s="60"/>
      <c r="F382" s="60"/>
      <c r="G382" s="60"/>
      <c r="H382" s="60"/>
    </row>
    <row r="383">
      <c r="A383" s="12"/>
      <c r="B383" s="60"/>
      <c r="C383" s="60"/>
      <c r="D383" s="60"/>
      <c r="E383" s="60"/>
      <c r="F383" s="60"/>
      <c r="G383" s="60"/>
      <c r="H383" s="60"/>
    </row>
    <row r="384">
      <c r="A384" s="12"/>
      <c r="B384" s="60"/>
      <c r="C384" s="60"/>
      <c r="D384" s="60"/>
      <c r="E384" s="60"/>
      <c r="F384" s="60"/>
      <c r="G384" s="60"/>
      <c r="H384" s="60"/>
    </row>
    <row r="385">
      <c r="A385" s="12"/>
      <c r="B385" s="60"/>
      <c r="C385" s="60"/>
      <c r="D385" s="60"/>
      <c r="E385" s="60"/>
      <c r="F385" s="60"/>
      <c r="G385" s="60"/>
      <c r="H385" s="60"/>
    </row>
    <row r="386">
      <c r="A386" s="12"/>
      <c r="B386" s="60"/>
      <c r="C386" s="60"/>
      <c r="D386" s="60"/>
      <c r="E386" s="60"/>
      <c r="F386" s="60"/>
      <c r="G386" s="60"/>
      <c r="H386" s="60"/>
    </row>
    <row r="387">
      <c r="A387" s="12"/>
      <c r="B387" s="60"/>
      <c r="C387" s="60"/>
      <c r="D387" s="60"/>
      <c r="E387" s="60"/>
      <c r="F387" s="60"/>
      <c r="G387" s="60"/>
      <c r="H387" s="60"/>
    </row>
    <row r="388">
      <c r="A388" s="12"/>
      <c r="B388" s="60"/>
      <c r="C388" s="60"/>
      <c r="D388" s="60"/>
      <c r="E388" s="60"/>
      <c r="F388" s="60"/>
      <c r="G388" s="60"/>
      <c r="H388" s="60"/>
    </row>
    <row r="389">
      <c r="A389" s="12"/>
      <c r="B389" s="60"/>
      <c r="C389" s="60"/>
      <c r="D389" s="60"/>
      <c r="E389" s="60"/>
      <c r="F389" s="60"/>
      <c r="G389" s="60"/>
      <c r="H389" s="60"/>
    </row>
    <row r="390">
      <c r="A390" s="12"/>
      <c r="B390" s="60"/>
      <c r="C390" s="60"/>
      <c r="D390" s="60"/>
      <c r="E390" s="60"/>
      <c r="F390" s="60"/>
      <c r="G390" s="60"/>
      <c r="H390" s="60"/>
    </row>
    <row r="391">
      <c r="A391" s="12"/>
      <c r="B391" s="60"/>
      <c r="C391" s="60"/>
      <c r="D391" s="60"/>
      <c r="E391" s="60"/>
      <c r="F391" s="60"/>
      <c r="G391" s="60"/>
      <c r="H391" s="60"/>
    </row>
    <row r="392">
      <c r="A392" s="12"/>
      <c r="B392" s="60"/>
      <c r="C392" s="60"/>
      <c r="D392" s="60"/>
      <c r="E392" s="60"/>
      <c r="F392" s="60"/>
      <c r="G392" s="60"/>
      <c r="H392" s="60"/>
    </row>
    <row r="393">
      <c r="A393" s="12"/>
      <c r="B393" s="60"/>
      <c r="C393" s="60"/>
      <c r="D393" s="60"/>
      <c r="E393" s="60"/>
      <c r="F393" s="60"/>
      <c r="G393" s="60"/>
      <c r="H393" s="60"/>
    </row>
    <row r="394">
      <c r="A394" s="12"/>
      <c r="B394" s="60"/>
      <c r="C394" s="60"/>
      <c r="D394" s="60"/>
      <c r="E394" s="60"/>
      <c r="F394" s="60"/>
      <c r="G394" s="60"/>
      <c r="H394" s="60"/>
    </row>
    <row r="395">
      <c r="A395" s="12"/>
      <c r="B395" s="60"/>
      <c r="C395" s="60"/>
      <c r="D395" s="60"/>
      <c r="E395" s="60"/>
      <c r="F395" s="60"/>
      <c r="G395" s="60"/>
      <c r="H395" s="60"/>
    </row>
    <row r="396">
      <c r="A396" s="12"/>
      <c r="B396" s="60"/>
      <c r="C396" s="60"/>
      <c r="D396" s="60"/>
      <c r="E396" s="60"/>
      <c r="F396" s="60"/>
      <c r="G396" s="60"/>
      <c r="H396" s="60"/>
    </row>
    <row r="397">
      <c r="A397" s="12"/>
      <c r="B397" s="60"/>
      <c r="C397" s="60"/>
      <c r="D397" s="60"/>
      <c r="E397" s="60"/>
      <c r="F397" s="60"/>
      <c r="G397" s="60"/>
      <c r="H397" s="60"/>
    </row>
    <row r="398">
      <c r="A398" s="12"/>
      <c r="B398" s="60"/>
      <c r="C398" s="60"/>
      <c r="D398" s="60"/>
      <c r="E398" s="60"/>
      <c r="F398" s="60"/>
      <c r="G398" s="60"/>
      <c r="H398" s="60"/>
    </row>
    <row r="399">
      <c r="A399" s="12"/>
      <c r="B399" s="60"/>
      <c r="C399" s="60"/>
      <c r="D399" s="60"/>
      <c r="E399" s="60"/>
      <c r="F399" s="60"/>
      <c r="G399" s="60"/>
      <c r="H399" s="60"/>
    </row>
    <row r="400">
      <c r="A400" s="12"/>
      <c r="B400" s="60"/>
      <c r="C400" s="60"/>
      <c r="D400" s="60"/>
      <c r="E400" s="60"/>
      <c r="F400" s="60"/>
      <c r="G400" s="60"/>
      <c r="H400" s="60"/>
    </row>
    <row r="401">
      <c r="A401" s="12"/>
      <c r="B401" s="60"/>
      <c r="C401" s="60"/>
      <c r="D401" s="60"/>
      <c r="E401" s="60"/>
      <c r="F401" s="60"/>
      <c r="G401" s="60"/>
      <c r="H401" s="60"/>
    </row>
    <row r="402">
      <c r="A402" s="12"/>
      <c r="B402" s="60"/>
      <c r="C402" s="60"/>
      <c r="D402" s="60"/>
      <c r="E402" s="60"/>
      <c r="F402" s="60"/>
      <c r="G402" s="60"/>
      <c r="H402" s="60"/>
    </row>
    <row r="403">
      <c r="A403" s="12"/>
      <c r="B403" s="60"/>
      <c r="C403" s="60"/>
      <c r="D403" s="60"/>
      <c r="E403" s="60"/>
      <c r="F403" s="60"/>
      <c r="G403" s="60"/>
      <c r="H403" s="60"/>
    </row>
    <row r="404">
      <c r="A404" s="12"/>
      <c r="B404" s="60"/>
      <c r="C404" s="60"/>
      <c r="D404" s="60"/>
      <c r="E404" s="60"/>
      <c r="F404" s="60"/>
      <c r="G404" s="60"/>
      <c r="H404" s="60"/>
    </row>
    <row r="405">
      <c r="A405" s="12"/>
      <c r="B405" s="60"/>
      <c r="C405" s="60"/>
      <c r="D405" s="60"/>
      <c r="E405" s="60"/>
      <c r="F405" s="60"/>
      <c r="G405" s="60"/>
      <c r="H405" s="60"/>
    </row>
    <row r="406">
      <c r="A406" s="12"/>
      <c r="B406" s="60"/>
      <c r="C406" s="60"/>
      <c r="D406" s="60"/>
      <c r="E406" s="60"/>
      <c r="F406" s="60"/>
      <c r="G406" s="60"/>
      <c r="H406" s="60"/>
    </row>
    <row r="407">
      <c r="A407" s="12"/>
      <c r="B407" s="60"/>
      <c r="C407" s="60"/>
      <c r="D407" s="60"/>
      <c r="E407" s="60"/>
      <c r="F407" s="60"/>
      <c r="G407" s="60"/>
      <c r="H407" s="60"/>
    </row>
    <row r="408">
      <c r="A408" s="12"/>
      <c r="B408" s="60"/>
      <c r="C408" s="60"/>
      <c r="D408" s="60"/>
      <c r="E408" s="60"/>
      <c r="F408" s="60"/>
      <c r="G408" s="60"/>
      <c r="H408" s="60"/>
    </row>
    <row r="409">
      <c r="A409" s="12"/>
      <c r="B409" s="60"/>
      <c r="C409" s="60"/>
      <c r="D409" s="60"/>
      <c r="E409" s="60"/>
      <c r="F409" s="60"/>
      <c r="G409" s="60"/>
      <c r="H409" s="60"/>
    </row>
    <row r="410">
      <c r="A410" s="12"/>
      <c r="B410" s="60"/>
      <c r="C410" s="60"/>
      <c r="D410" s="60"/>
      <c r="E410" s="60"/>
      <c r="F410" s="60"/>
      <c r="G410" s="60"/>
      <c r="H410" s="60"/>
    </row>
    <row r="411">
      <c r="A411" s="12"/>
      <c r="B411" s="60"/>
      <c r="C411" s="60"/>
      <c r="D411" s="60"/>
      <c r="E411" s="60"/>
      <c r="F411" s="60"/>
      <c r="G411" s="60"/>
      <c r="H411" s="60"/>
    </row>
    <row r="412">
      <c r="A412" s="12"/>
      <c r="B412" s="60"/>
      <c r="C412" s="60"/>
      <c r="D412" s="60"/>
      <c r="E412" s="60"/>
      <c r="F412" s="60"/>
      <c r="G412" s="60"/>
      <c r="H412" s="60"/>
    </row>
    <row r="413">
      <c r="A413" s="12"/>
      <c r="B413" s="60"/>
      <c r="C413" s="60"/>
      <c r="D413" s="60"/>
      <c r="E413" s="60"/>
      <c r="F413" s="60"/>
      <c r="G413" s="60"/>
      <c r="H413" s="60"/>
    </row>
    <row r="414">
      <c r="A414" s="12"/>
      <c r="B414" s="60"/>
      <c r="C414" s="60"/>
      <c r="D414" s="60"/>
      <c r="E414" s="60"/>
      <c r="F414" s="60"/>
      <c r="G414" s="60"/>
      <c r="H414" s="60"/>
    </row>
    <row r="415">
      <c r="A415" s="12"/>
      <c r="B415" s="60"/>
      <c r="C415" s="60"/>
      <c r="D415" s="60"/>
      <c r="E415" s="60"/>
      <c r="F415" s="60"/>
      <c r="G415" s="60"/>
      <c r="H415" s="60"/>
    </row>
    <row r="416">
      <c r="A416" s="12"/>
      <c r="B416" s="60"/>
      <c r="C416" s="60"/>
      <c r="D416" s="60"/>
      <c r="E416" s="60"/>
      <c r="F416" s="60"/>
      <c r="G416" s="60"/>
      <c r="H416" s="60"/>
    </row>
    <row r="417">
      <c r="A417" s="12"/>
      <c r="B417" s="60"/>
      <c r="C417" s="60"/>
      <c r="D417" s="60"/>
      <c r="E417" s="60"/>
      <c r="F417" s="60"/>
      <c r="G417" s="60"/>
      <c r="H417" s="60"/>
    </row>
    <row r="418">
      <c r="A418" s="12"/>
      <c r="B418" s="60"/>
      <c r="C418" s="60"/>
      <c r="D418" s="60"/>
      <c r="E418" s="60"/>
      <c r="F418" s="60"/>
      <c r="G418" s="60"/>
      <c r="H418" s="60"/>
    </row>
    <row r="419">
      <c r="A419" s="12"/>
      <c r="B419" s="60"/>
      <c r="C419" s="60"/>
      <c r="D419" s="60"/>
      <c r="E419" s="60"/>
      <c r="F419" s="60"/>
      <c r="G419" s="60"/>
      <c r="H419" s="60"/>
    </row>
    <row r="420">
      <c r="A420" s="12"/>
      <c r="B420" s="60"/>
      <c r="C420" s="60"/>
      <c r="D420" s="60"/>
      <c r="E420" s="60"/>
      <c r="F420" s="60"/>
      <c r="G420" s="60"/>
      <c r="H420" s="60"/>
    </row>
    <row r="421">
      <c r="A421" s="12"/>
      <c r="B421" s="60"/>
      <c r="C421" s="60"/>
      <c r="D421" s="60"/>
      <c r="E421" s="60"/>
      <c r="F421" s="60"/>
      <c r="G421" s="60"/>
      <c r="H421" s="60"/>
    </row>
    <row r="422">
      <c r="A422" s="12"/>
      <c r="B422" s="60"/>
      <c r="C422" s="60"/>
      <c r="D422" s="60"/>
      <c r="E422" s="60"/>
      <c r="F422" s="60"/>
      <c r="G422" s="60"/>
      <c r="H422" s="60"/>
    </row>
    <row r="423">
      <c r="A423" s="12"/>
      <c r="B423" s="60"/>
      <c r="C423" s="60"/>
      <c r="D423" s="60"/>
      <c r="E423" s="60"/>
      <c r="F423" s="60"/>
      <c r="G423" s="60"/>
      <c r="H423" s="60"/>
    </row>
    <row r="424">
      <c r="A424" s="12"/>
      <c r="B424" s="60"/>
      <c r="C424" s="60"/>
      <c r="D424" s="60"/>
      <c r="E424" s="60"/>
      <c r="F424" s="60"/>
      <c r="G424" s="60"/>
      <c r="H424" s="60"/>
    </row>
    <row r="425">
      <c r="A425" s="12"/>
      <c r="B425" s="60"/>
      <c r="C425" s="60"/>
      <c r="D425" s="60"/>
      <c r="E425" s="60"/>
      <c r="F425" s="60"/>
      <c r="G425" s="60"/>
      <c r="H425" s="60"/>
    </row>
    <row r="426">
      <c r="A426" s="12"/>
      <c r="B426" s="60"/>
      <c r="C426" s="60"/>
      <c r="D426" s="60"/>
      <c r="E426" s="60"/>
      <c r="F426" s="60"/>
      <c r="G426" s="60"/>
      <c r="H426" s="60"/>
    </row>
    <row r="427">
      <c r="A427" s="12"/>
      <c r="B427" s="60"/>
      <c r="C427" s="60"/>
      <c r="D427" s="60"/>
      <c r="E427" s="60"/>
      <c r="F427" s="60"/>
      <c r="G427" s="60"/>
      <c r="H427" s="60"/>
    </row>
    <row r="428">
      <c r="A428" s="12"/>
      <c r="B428" s="60"/>
      <c r="C428" s="60"/>
      <c r="D428" s="60"/>
      <c r="E428" s="60"/>
      <c r="F428" s="60"/>
      <c r="G428" s="60"/>
      <c r="H428" s="60"/>
    </row>
    <row r="429">
      <c r="A429" s="12"/>
      <c r="B429" s="60"/>
      <c r="C429" s="60"/>
      <c r="D429" s="60"/>
      <c r="E429" s="60"/>
      <c r="F429" s="60"/>
      <c r="G429" s="60"/>
      <c r="H429" s="60"/>
    </row>
    <row r="430">
      <c r="A430" s="12"/>
      <c r="B430" s="60"/>
      <c r="C430" s="60"/>
      <c r="D430" s="60"/>
      <c r="E430" s="60"/>
      <c r="F430" s="60"/>
      <c r="G430" s="60"/>
      <c r="H430" s="60"/>
    </row>
    <row r="431">
      <c r="A431" s="12"/>
      <c r="B431" s="60"/>
      <c r="C431" s="60"/>
      <c r="D431" s="60"/>
      <c r="E431" s="60"/>
      <c r="F431" s="60"/>
      <c r="G431" s="60"/>
      <c r="H431" s="60"/>
    </row>
    <row r="432">
      <c r="A432" s="12"/>
      <c r="B432" s="60"/>
      <c r="C432" s="60"/>
      <c r="D432" s="60"/>
      <c r="E432" s="60"/>
      <c r="F432" s="60"/>
      <c r="G432" s="60"/>
      <c r="H432" s="60"/>
    </row>
    <row r="433">
      <c r="A433" s="12"/>
      <c r="B433" s="60"/>
      <c r="C433" s="60"/>
      <c r="D433" s="60"/>
      <c r="E433" s="60"/>
      <c r="F433" s="60"/>
      <c r="G433" s="60"/>
      <c r="H433" s="60"/>
    </row>
    <row r="434">
      <c r="A434" s="12"/>
      <c r="B434" s="60"/>
      <c r="C434" s="60"/>
      <c r="D434" s="60"/>
      <c r="E434" s="60"/>
      <c r="F434" s="60"/>
      <c r="G434" s="60"/>
      <c r="H434" s="60"/>
    </row>
    <row r="435">
      <c r="A435" s="12"/>
      <c r="B435" s="60"/>
      <c r="C435" s="60"/>
      <c r="D435" s="60"/>
      <c r="E435" s="60"/>
      <c r="F435" s="60"/>
      <c r="G435" s="60"/>
      <c r="H435" s="60"/>
    </row>
    <row r="436">
      <c r="A436" s="12"/>
      <c r="B436" s="60"/>
      <c r="C436" s="60"/>
      <c r="D436" s="60"/>
      <c r="E436" s="60"/>
      <c r="F436" s="60"/>
      <c r="G436" s="60"/>
      <c r="H436" s="60"/>
    </row>
    <row r="437">
      <c r="A437" s="12"/>
      <c r="B437" s="60"/>
      <c r="C437" s="60"/>
      <c r="D437" s="60"/>
      <c r="E437" s="60"/>
      <c r="F437" s="60"/>
      <c r="G437" s="60"/>
      <c r="H437" s="60"/>
    </row>
    <row r="438">
      <c r="A438" s="12"/>
      <c r="B438" s="60"/>
      <c r="C438" s="60"/>
      <c r="D438" s="60"/>
      <c r="E438" s="60"/>
      <c r="F438" s="60"/>
      <c r="G438" s="60"/>
      <c r="H438" s="60"/>
    </row>
    <row r="439">
      <c r="A439" s="12"/>
      <c r="B439" s="60"/>
      <c r="C439" s="60"/>
      <c r="D439" s="60"/>
      <c r="E439" s="60"/>
      <c r="F439" s="60"/>
      <c r="G439" s="60"/>
      <c r="H439" s="60"/>
    </row>
    <row r="440">
      <c r="A440" s="12"/>
      <c r="B440" s="60"/>
      <c r="C440" s="60"/>
      <c r="D440" s="60"/>
      <c r="E440" s="60"/>
      <c r="F440" s="60"/>
      <c r="G440" s="60"/>
      <c r="H440" s="60"/>
    </row>
    <row r="441">
      <c r="A441" s="12"/>
      <c r="B441" s="60"/>
      <c r="C441" s="60"/>
      <c r="D441" s="60"/>
      <c r="E441" s="60"/>
      <c r="F441" s="60"/>
      <c r="G441" s="60"/>
      <c r="H441" s="60"/>
    </row>
    <row r="442">
      <c r="A442" s="12"/>
      <c r="B442" s="60"/>
      <c r="C442" s="60"/>
      <c r="D442" s="60"/>
      <c r="E442" s="60"/>
      <c r="F442" s="60"/>
      <c r="G442" s="60"/>
      <c r="H442" s="60"/>
    </row>
    <row r="443">
      <c r="A443" s="12"/>
      <c r="B443" s="60"/>
      <c r="C443" s="60"/>
      <c r="D443" s="60"/>
      <c r="E443" s="60"/>
      <c r="F443" s="60"/>
      <c r="G443" s="60"/>
      <c r="H443" s="60"/>
    </row>
    <row r="444">
      <c r="A444" s="12"/>
      <c r="B444" s="60"/>
      <c r="C444" s="60"/>
      <c r="D444" s="60"/>
      <c r="E444" s="60"/>
      <c r="F444" s="60"/>
      <c r="G444" s="60"/>
      <c r="H444" s="60"/>
    </row>
    <row r="445">
      <c r="A445" s="12"/>
      <c r="B445" s="60"/>
      <c r="C445" s="60"/>
      <c r="D445" s="60"/>
      <c r="E445" s="60"/>
      <c r="F445" s="60"/>
      <c r="G445" s="60"/>
      <c r="H445" s="60"/>
    </row>
    <row r="446">
      <c r="A446" s="12"/>
      <c r="B446" s="60"/>
      <c r="C446" s="60"/>
      <c r="D446" s="60"/>
      <c r="E446" s="60"/>
      <c r="F446" s="60"/>
      <c r="G446" s="60"/>
      <c r="H446" s="60"/>
    </row>
    <row r="447">
      <c r="A447" s="12"/>
      <c r="B447" s="60"/>
      <c r="C447" s="60"/>
      <c r="D447" s="60"/>
      <c r="E447" s="60"/>
      <c r="F447" s="60"/>
      <c r="G447" s="60"/>
      <c r="H447" s="60"/>
    </row>
    <row r="448">
      <c r="A448" s="12"/>
      <c r="B448" s="60"/>
      <c r="C448" s="60"/>
      <c r="D448" s="60"/>
      <c r="E448" s="60"/>
      <c r="F448" s="60"/>
      <c r="G448" s="60"/>
      <c r="H448" s="60"/>
    </row>
    <row r="449">
      <c r="A449" s="12"/>
      <c r="B449" s="60"/>
      <c r="C449" s="60"/>
      <c r="D449" s="60"/>
      <c r="E449" s="60"/>
      <c r="F449" s="60"/>
      <c r="G449" s="60"/>
      <c r="H449" s="60"/>
    </row>
    <row r="450">
      <c r="A450" s="12"/>
      <c r="B450" s="60"/>
      <c r="C450" s="60"/>
      <c r="D450" s="60"/>
      <c r="E450" s="60"/>
      <c r="F450" s="60"/>
      <c r="G450" s="60"/>
      <c r="H450" s="60"/>
    </row>
    <row r="451">
      <c r="A451" s="12"/>
      <c r="B451" s="60"/>
      <c r="C451" s="60"/>
      <c r="D451" s="60"/>
      <c r="E451" s="60"/>
      <c r="F451" s="60"/>
      <c r="G451" s="60"/>
      <c r="H451" s="60"/>
    </row>
    <row r="452">
      <c r="A452" s="12"/>
      <c r="B452" s="60"/>
      <c r="C452" s="60"/>
      <c r="D452" s="60"/>
      <c r="E452" s="60"/>
      <c r="F452" s="60"/>
      <c r="G452" s="60"/>
      <c r="H452" s="60"/>
    </row>
    <row r="453">
      <c r="A453" s="12"/>
      <c r="B453" s="60"/>
      <c r="C453" s="60"/>
      <c r="D453" s="60"/>
      <c r="E453" s="60"/>
      <c r="F453" s="60"/>
      <c r="G453" s="60"/>
      <c r="H453" s="60"/>
    </row>
    <row r="454">
      <c r="A454" s="12"/>
      <c r="B454" s="60"/>
      <c r="C454" s="60"/>
      <c r="D454" s="60"/>
      <c r="E454" s="60"/>
      <c r="F454" s="60"/>
      <c r="G454" s="60"/>
      <c r="H454" s="60"/>
    </row>
    <row r="455">
      <c r="A455" s="12"/>
      <c r="B455" s="60"/>
      <c r="C455" s="60"/>
      <c r="D455" s="60"/>
      <c r="E455" s="60"/>
      <c r="F455" s="60"/>
      <c r="G455" s="60"/>
      <c r="H455" s="60"/>
    </row>
    <row r="456">
      <c r="A456" s="12"/>
      <c r="B456" s="60"/>
      <c r="C456" s="60"/>
      <c r="D456" s="60"/>
      <c r="E456" s="60"/>
      <c r="F456" s="60"/>
      <c r="G456" s="60"/>
      <c r="H456" s="60"/>
    </row>
    <row r="457">
      <c r="A457" s="12"/>
      <c r="B457" s="60"/>
      <c r="C457" s="60"/>
      <c r="D457" s="60"/>
      <c r="E457" s="60"/>
      <c r="F457" s="60"/>
      <c r="G457" s="60"/>
      <c r="H457" s="60"/>
    </row>
    <row r="458">
      <c r="A458" s="12"/>
      <c r="B458" s="60"/>
      <c r="C458" s="60"/>
      <c r="D458" s="60"/>
      <c r="E458" s="60"/>
      <c r="F458" s="60"/>
      <c r="G458" s="60"/>
      <c r="H458" s="60"/>
    </row>
    <row r="459">
      <c r="A459" s="12"/>
      <c r="B459" s="60"/>
      <c r="C459" s="60"/>
      <c r="D459" s="60"/>
      <c r="E459" s="60"/>
      <c r="F459" s="60"/>
      <c r="G459" s="60"/>
      <c r="H459" s="60"/>
    </row>
    <row r="460">
      <c r="A460" s="12"/>
      <c r="B460" s="60"/>
      <c r="C460" s="60"/>
      <c r="D460" s="60"/>
      <c r="E460" s="60"/>
      <c r="F460" s="60"/>
      <c r="G460" s="60"/>
      <c r="H460" s="60"/>
    </row>
    <row r="461">
      <c r="A461" s="12"/>
      <c r="B461" s="60"/>
      <c r="C461" s="60"/>
      <c r="D461" s="60"/>
      <c r="E461" s="60"/>
      <c r="F461" s="60"/>
      <c r="G461" s="60"/>
      <c r="H461" s="60"/>
    </row>
    <row r="462">
      <c r="A462" s="12"/>
      <c r="B462" s="60"/>
      <c r="C462" s="60"/>
      <c r="D462" s="60"/>
      <c r="E462" s="60"/>
      <c r="F462" s="60"/>
      <c r="G462" s="60"/>
      <c r="H462" s="60"/>
    </row>
    <row r="463">
      <c r="A463" s="12"/>
      <c r="B463" s="60"/>
      <c r="C463" s="60"/>
      <c r="D463" s="60"/>
      <c r="E463" s="60"/>
      <c r="F463" s="60"/>
      <c r="G463" s="60"/>
      <c r="H463" s="60"/>
    </row>
    <row r="464">
      <c r="A464" s="12"/>
      <c r="B464" s="60"/>
      <c r="C464" s="60"/>
      <c r="D464" s="60"/>
      <c r="E464" s="60"/>
      <c r="F464" s="60"/>
      <c r="G464" s="60"/>
      <c r="H464" s="60"/>
    </row>
    <row r="465">
      <c r="A465" s="12"/>
      <c r="B465" s="60"/>
      <c r="C465" s="60"/>
      <c r="D465" s="60"/>
      <c r="E465" s="60"/>
      <c r="F465" s="60"/>
      <c r="G465" s="60"/>
      <c r="H465" s="60"/>
    </row>
    <row r="466">
      <c r="A466" s="12"/>
      <c r="B466" s="60"/>
      <c r="C466" s="60"/>
      <c r="D466" s="60"/>
      <c r="E466" s="60"/>
      <c r="F466" s="60"/>
      <c r="G466" s="60"/>
      <c r="H466" s="60"/>
    </row>
    <row r="467">
      <c r="A467" s="12"/>
      <c r="B467" s="60"/>
      <c r="C467" s="60"/>
      <c r="D467" s="60"/>
      <c r="E467" s="60"/>
      <c r="F467" s="60"/>
      <c r="G467" s="60"/>
      <c r="H467" s="60"/>
    </row>
    <row r="468">
      <c r="A468" s="12"/>
      <c r="B468" s="60"/>
      <c r="C468" s="60"/>
      <c r="D468" s="60"/>
      <c r="E468" s="60"/>
      <c r="F468" s="60"/>
      <c r="G468" s="60"/>
      <c r="H468" s="60"/>
    </row>
    <row r="469">
      <c r="A469" s="12"/>
      <c r="B469" s="60"/>
      <c r="C469" s="60"/>
      <c r="D469" s="60"/>
      <c r="E469" s="60"/>
      <c r="F469" s="60"/>
      <c r="G469" s="60"/>
      <c r="H469" s="60"/>
    </row>
    <row r="470">
      <c r="A470" s="12"/>
      <c r="B470" s="60"/>
      <c r="C470" s="60"/>
      <c r="D470" s="60"/>
      <c r="E470" s="60"/>
      <c r="F470" s="60"/>
      <c r="G470" s="60"/>
      <c r="H470" s="60"/>
    </row>
    <row r="471">
      <c r="A471" s="12"/>
      <c r="B471" s="60"/>
      <c r="C471" s="60"/>
      <c r="D471" s="60"/>
      <c r="E471" s="60"/>
      <c r="F471" s="60"/>
      <c r="G471" s="60"/>
      <c r="H471" s="60"/>
    </row>
    <row r="472">
      <c r="A472" s="12"/>
      <c r="B472" s="60"/>
      <c r="C472" s="60"/>
      <c r="D472" s="60"/>
      <c r="E472" s="60"/>
      <c r="F472" s="60"/>
      <c r="G472" s="60"/>
      <c r="H472" s="60"/>
    </row>
    <row r="473">
      <c r="A473" s="12"/>
      <c r="B473" s="60"/>
      <c r="C473" s="60"/>
      <c r="D473" s="60"/>
      <c r="E473" s="60"/>
      <c r="F473" s="60"/>
      <c r="G473" s="60"/>
      <c r="H473" s="60"/>
    </row>
    <row r="474">
      <c r="A474" s="12"/>
      <c r="B474" s="60"/>
      <c r="C474" s="60"/>
      <c r="D474" s="60"/>
      <c r="E474" s="60"/>
      <c r="F474" s="60"/>
      <c r="G474" s="60"/>
      <c r="H474" s="60"/>
    </row>
    <row r="475">
      <c r="A475" s="12"/>
      <c r="B475" s="60"/>
      <c r="C475" s="60"/>
      <c r="D475" s="60"/>
      <c r="E475" s="60"/>
      <c r="F475" s="60"/>
      <c r="G475" s="60"/>
      <c r="H475" s="60"/>
    </row>
    <row r="476">
      <c r="A476" s="12"/>
      <c r="B476" s="60"/>
      <c r="C476" s="60"/>
      <c r="D476" s="60"/>
      <c r="E476" s="60"/>
      <c r="F476" s="60"/>
      <c r="G476" s="60"/>
      <c r="H476" s="60"/>
    </row>
    <row r="477">
      <c r="A477" s="12"/>
      <c r="B477" s="60"/>
      <c r="C477" s="60"/>
      <c r="D477" s="60"/>
      <c r="E477" s="60"/>
      <c r="F477" s="60"/>
      <c r="G477" s="60"/>
      <c r="H477" s="60"/>
    </row>
    <row r="478">
      <c r="A478" s="12"/>
      <c r="B478" s="60"/>
      <c r="C478" s="60"/>
      <c r="D478" s="60"/>
      <c r="E478" s="60"/>
      <c r="F478" s="60"/>
      <c r="G478" s="60"/>
      <c r="H478" s="60"/>
    </row>
    <row r="479">
      <c r="A479" s="12"/>
      <c r="B479" s="60"/>
      <c r="C479" s="60"/>
      <c r="D479" s="60"/>
      <c r="E479" s="60"/>
      <c r="F479" s="60"/>
      <c r="G479" s="60"/>
      <c r="H479" s="60"/>
    </row>
    <row r="480">
      <c r="A480" s="12"/>
      <c r="B480" s="60"/>
      <c r="C480" s="60"/>
      <c r="D480" s="60"/>
      <c r="E480" s="60"/>
      <c r="F480" s="60"/>
      <c r="G480" s="60"/>
      <c r="H480" s="60"/>
    </row>
    <row r="481">
      <c r="A481" s="12"/>
      <c r="B481" s="60"/>
      <c r="C481" s="60"/>
      <c r="D481" s="60"/>
      <c r="E481" s="60"/>
      <c r="F481" s="60"/>
      <c r="G481" s="60"/>
      <c r="H481" s="60"/>
    </row>
    <row r="482">
      <c r="A482" s="12"/>
      <c r="B482" s="60"/>
      <c r="C482" s="60"/>
      <c r="D482" s="60"/>
      <c r="E482" s="60"/>
      <c r="F482" s="60"/>
      <c r="G482" s="60"/>
      <c r="H482" s="60"/>
    </row>
    <row r="483">
      <c r="A483" s="12"/>
      <c r="B483" s="60"/>
      <c r="C483" s="60"/>
      <c r="D483" s="60"/>
      <c r="E483" s="60"/>
      <c r="F483" s="60"/>
      <c r="G483" s="60"/>
      <c r="H483" s="60"/>
    </row>
    <row r="484">
      <c r="A484" s="12"/>
      <c r="B484" s="60"/>
      <c r="C484" s="60"/>
      <c r="D484" s="60"/>
      <c r="E484" s="60"/>
      <c r="F484" s="60"/>
      <c r="G484" s="60"/>
      <c r="H484" s="60"/>
    </row>
    <row r="485">
      <c r="A485" s="12"/>
      <c r="B485" s="60"/>
      <c r="C485" s="60"/>
      <c r="D485" s="60"/>
      <c r="E485" s="60"/>
      <c r="F485" s="60"/>
      <c r="G485" s="60"/>
      <c r="H485" s="60"/>
    </row>
    <row r="486">
      <c r="A486" s="12"/>
      <c r="B486" s="60"/>
      <c r="C486" s="60"/>
      <c r="D486" s="60"/>
      <c r="E486" s="60"/>
      <c r="F486" s="60"/>
      <c r="G486" s="60"/>
      <c r="H486" s="60"/>
    </row>
    <row r="487">
      <c r="A487" s="12"/>
      <c r="B487" s="60"/>
      <c r="C487" s="60"/>
      <c r="D487" s="60"/>
      <c r="E487" s="60"/>
      <c r="F487" s="60"/>
      <c r="G487" s="60"/>
      <c r="H487" s="60"/>
    </row>
    <row r="488">
      <c r="A488" s="12"/>
      <c r="B488" s="60"/>
      <c r="C488" s="60"/>
      <c r="D488" s="60"/>
      <c r="E488" s="60"/>
      <c r="F488" s="60"/>
      <c r="G488" s="60"/>
      <c r="H488" s="60"/>
    </row>
    <row r="489">
      <c r="A489" s="12"/>
      <c r="B489" s="60"/>
      <c r="C489" s="60"/>
      <c r="D489" s="60"/>
      <c r="E489" s="60"/>
      <c r="F489" s="60"/>
      <c r="G489" s="60"/>
      <c r="H489" s="60"/>
    </row>
    <row r="490">
      <c r="A490" s="12"/>
      <c r="B490" s="60"/>
      <c r="C490" s="60"/>
      <c r="D490" s="60"/>
      <c r="E490" s="60"/>
      <c r="F490" s="60"/>
      <c r="G490" s="60"/>
      <c r="H490" s="60"/>
    </row>
    <row r="491">
      <c r="A491" s="12"/>
      <c r="B491" s="60"/>
      <c r="C491" s="60"/>
      <c r="D491" s="60"/>
      <c r="E491" s="60"/>
      <c r="F491" s="60"/>
      <c r="G491" s="60"/>
      <c r="H491" s="60"/>
    </row>
    <row r="492">
      <c r="A492" s="12"/>
      <c r="B492" s="60"/>
      <c r="C492" s="60"/>
      <c r="D492" s="60"/>
      <c r="E492" s="60"/>
      <c r="F492" s="60"/>
      <c r="G492" s="60"/>
      <c r="H492" s="60"/>
    </row>
    <row r="493">
      <c r="A493" s="12"/>
      <c r="B493" s="60"/>
      <c r="C493" s="60"/>
      <c r="D493" s="60"/>
      <c r="E493" s="60"/>
      <c r="F493" s="60"/>
      <c r="G493" s="60"/>
      <c r="H493" s="60"/>
    </row>
    <row r="494">
      <c r="A494" s="12"/>
      <c r="B494" s="60"/>
      <c r="C494" s="60"/>
      <c r="D494" s="60"/>
      <c r="E494" s="60"/>
      <c r="F494" s="60"/>
      <c r="G494" s="60"/>
      <c r="H494" s="60"/>
    </row>
    <row r="495">
      <c r="A495" s="12"/>
      <c r="B495" s="60"/>
      <c r="C495" s="60"/>
      <c r="D495" s="60"/>
      <c r="E495" s="60"/>
      <c r="F495" s="60"/>
      <c r="G495" s="60"/>
      <c r="H495" s="60"/>
    </row>
    <row r="496">
      <c r="A496" s="12"/>
      <c r="B496" s="60"/>
      <c r="C496" s="60"/>
      <c r="D496" s="60"/>
      <c r="E496" s="60"/>
      <c r="F496" s="60"/>
      <c r="G496" s="60"/>
      <c r="H496" s="60"/>
    </row>
    <row r="497">
      <c r="A497" s="12"/>
      <c r="B497" s="60"/>
      <c r="C497" s="60"/>
      <c r="D497" s="60"/>
      <c r="E497" s="60"/>
      <c r="F497" s="60"/>
      <c r="G497" s="60"/>
      <c r="H497" s="60"/>
    </row>
    <row r="498">
      <c r="A498" s="12"/>
      <c r="B498" s="60"/>
      <c r="C498" s="60"/>
      <c r="D498" s="60"/>
      <c r="E498" s="60"/>
      <c r="F498" s="60"/>
      <c r="G498" s="60"/>
      <c r="H498" s="60"/>
    </row>
    <row r="499">
      <c r="A499" s="12"/>
      <c r="B499" s="60"/>
      <c r="C499" s="60"/>
      <c r="D499" s="60"/>
      <c r="E499" s="60"/>
      <c r="F499" s="60"/>
      <c r="G499" s="60"/>
      <c r="H499" s="60"/>
    </row>
    <row r="500">
      <c r="A500" s="12"/>
      <c r="B500" s="60"/>
      <c r="C500" s="60"/>
      <c r="D500" s="60"/>
      <c r="E500" s="60"/>
      <c r="F500" s="60"/>
      <c r="G500" s="60"/>
      <c r="H500" s="60"/>
    </row>
    <row r="501">
      <c r="A501" s="12"/>
      <c r="B501" s="60"/>
      <c r="C501" s="60"/>
      <c r="D501" s="60"/>
      <c r="E501" s="60"/>
      <c r="F501" s="60"/>
      <c r="G501" s="60"/>
      <c r="H501" s="60"/>
    </row>
    <row r="502">
      <c r="A502" s="12"/>
      <c r="B502" s="60"/>
      <c r="C502" s="60"/>
      <c r="D502" s="60"/>
      <c r="E502" s="60"/>
      <c r="F502" s="60"/>
      <c r="G502" s="60"/>
      <c r="H502" s="60"/>
    </row>
    <row r="503">
      <c r="A503" s="12"/>
      <c r="B503" s="60"/>
      <c r="C503" s="60"/>
      <c r="D503" s="60"/>
      <c r="E503" s="60"/>
      <c r="F503" s="60"/>
      <c r="G503" s="60"/>
      <c r="H503" s="60"/>
    </row>
    <row r="504">
      <c r="A504" s="12"/>
      <c r="B504" s="60"/>
      <c r="C504" s="60"/>
      <c r="D504" s="60"/>
      <c r="E504" s="60"/>
      <c r="F504" s="60"/>
      <c r="G504" s="60"/>
      <c r="H504" s="60"/>
    </row>
    <row r="505">
      <c r="A505" s="12"/>
      <c r="B505" s="60"/>
      <c r="C505" s="60"/>
      <c r="D505" s="60"/>
      <c r="E505" s="60"/>
      <c r="F505" s="60"/>
      <c r="G505" s="60"/>
      <c r="H505" s="60"/>
    </row>
    <row r="506">
      <c r="A506" s="12"/>
      <c r="B506" s="60"/>
      <c r="C506" s="60"/>
      <c r="D506" s="60"/>
      <c r="E506" s="60"/>
      <c r="F506" s="60"/>
      <c r="G506" s="60"/>
      <c r="H506" s="60"/>
    </row>
    <row r="507">
      <c r="A507" s="12"/>
      <c r="B507" s="60"/>
      <c r="C507" s="60"/>
      <c r="D507" s="60"/>
      <c r="E507" s="60"/>
      <c r="F507" s="60"/>
      <c r="G507" s="60"/>
      <c r="H507" s="60"/>
    </row>
    <row r="508">
      <c r="A508" s="12"/>
      <c r="B508" s="60"/>
      <c r="C508" s="60"/>
      <c r="D508" s="60"/>
      <c r="E508" s="60"/>
      <c r="F508" s="60"/>
      <c r="G508" s="60"/>
      <c r="H508" s="60"/>
    </row>
    <row r="509">
      <c r="A509" s="12"/>
      <c r="B509" s="60"/>
      <c r="C509" s="60"/>
      <c r="D509" s="60"/>
      <c r="E509" s="60"/>
      <c r="F509" s="60"/>
      <c r="G509" s="60"/>
      <c r="H509" s="60"/>
    </row>
    <row r="510">
      <c r="A510" s="12"/>
      <c r="B510" s="60"/>
      <c r="C510" s="60"/>
      <c r="D510" s="60"/>
      <c r="E510" s="60"/>
      <c r="F510" s="60"/>
      <c r="G510" s="60"/>
      <c r="H510" s="60"/>
    </row>
    <row r="511">
      <c r="A511" s="12"/>
      <c r="B511" s="60"/>
      <c r="C511" s="60"/>
      <c r="D511" s="60"/>
      <c r="E511" s="60"/>
      <c r="F511" s="60"/>
      <c r="G511" s="60"/>
      <c r="H511" s="60"/>
    </row>
    <row r="512">
      <c r="A512" s="12"/>
      <c r="B512" s="60"/>
      <c r="C512" s="60"/>
      <c r="D512" s="60"/>
      <c r="E512" s="60"/>
      <c r="F512" s="60"/>
      <c r="G512" s="60"/>
      <c r="H512" s="60"/>
    </row>
    <row r="513">
      <c r="A513" s="12"/>
      <c r="B513" s="60"/>
      <c r="C513" s="60"/>
      <c r="D513" s="60"/>
      <c r="E513" s="60"/>
      <c r="F513" s="60"/>
      <c r="G513" s="60"/>
      <c r="H513" s="60"/>
    </row>
    <row r="514">
      <c r="A514" s="12"/>
      <c r="B514" s="60"/>
      <c r="C514" s="60"/>
      <c r="D514" s="60"/>
      <c r="E514" s="60"/>
      <c r="F514" s="60"/>
      <c r="G514" s="60"/>
      <c r="H514" s="60"/>
    </row>
    <row r="515">
      <c r="A515" s="12"/>
      <c r="B515" s="60"/>
      <c r="C515" s="60"/>
      <c r="D515" s="60"/>
      <c r="E515" s="60"/>
      <c r="F515" s="60"/>
      <c r="G515" s="60"/>
      <c r="H515" s="60"/>
    </row>
    <row r="516">
      <c r="A516" s="12"/>
      <c r="B516" s="60"/>
      <c r="C516" s="60"/>
      <c r="D516" s="60"/>
      <c r="E516" s="60"/>
      <c r="F516" s="60"/>
      <c r="G516" s="60"/>
      <c r="H516" s="60"/>
    </row>
    <row r="517">
      <c r="A517" s="12"/>
      <c r="B517" s="60"/>
      <c r="C517" s="60"/>
      <c r="D517" s="60"/>
      <c r="E517" s="60"/>
      <c r="F517" s="60"/>
      <c r="G517" s="60"/>
      <c r="H517" s="60"/>
    </row>
    <row r="518">
      <c r="A518" s="12"/>
      <c r="B518" s="60"/>
      <c r="C518" s="60"/>
      <c r="D518" s="60"/>
      <c r="E518" s="60"/>
      <c r="F518" s="60"/>
      <c r="G518" s="60"/>
      <c r="H518" s="60"/>
    </row>
    <row r="519">
      <c r="A519" s="12"/>
      <c r="B519" s="60"/>
      <c r="C519" s="60"/>
      <c r="D519" s="60"/>
      <c r="E519" s="60"/>
      <c r="F519" s="60"/>
      <c r="G519" s="60"/>
      <c r="H519" s="60"/>
    </row>
    <row r="520">
      <c r="A520" s="12"/>
      <c r="B520" s="60"/>
      <c r="C520" s="60"/>
      <c r="D520" s="60"/>
      <c r="E520" s="60"/>
      <c r="F520" s="60"/>
      <c r="G520" s="60"/>
      <c r="H520" s="60"/>
    </row>
    <row r="521">
      <c r="A521" s="12"/>
      <c r="B521" s="60"/>
      <c r="C521" s="60"/>
      <c r="D521" s="60"/>
      <c r="E521" s="60"/>
      <c r="F521" s="60"/>
      <c r="G521" s="60"/>
      <c r="H521" s="60"/>
    </row>
    <row r="522">
      <c r="A522" s="12"/>
      <c r="B522" s="60"/>
      <c r="C522" s="60"/>
      <c r="D522" s="60"/>
      <c r="E522" s="60"/>
      <c r="F522" s="60"/>
      <c r="G522" s="60"/>
      <c r="H522" s="60"/>
    </row>
    <row r="523">
      <c r="A523" s="12"/>
      <c r="B523" s="60"/>
      <c r="C523" s="60"/>
      <c r="D523" s="60"/>
      <c r="E523" s="60"/>
      <c r="F523" s="60"/>
      <c r="G523" s="60"/>
      <c r="H523" s="60"/>
    </row>
    <row r="524">
      <c r="A524" s="12"/>
      <c r="B524" s="60"/>
      <c r="C524" s="60"/>
      <c r="D524" s="60"/>
      <c r="E524" s="60"/>
      <c r="F524" s="60"/>
      <c r="G524" s="60"/>
      <c r="H524" s="60"/>
    </row>
    <row r="525">
      <c r="A525" s="12"/>
      <c r="B525" s="60"/>
      <c r="C525" s="60"/>
      <c r="D525" s="60"/>
      <c r="E525" s="60"/>
      <c r="F525" s="60"/>
      <c r="G525" s="60"/>
      <c r="H525" s="60"/>
    </row>
    <row r="526">
      <c r="A526" s="12"/>
      <c r="B526" s="60"/>
      <c r="C526" s="60"/>
      <c r="D526" s="60"/>
      <c r="E526" s="60"/>
      <c r="F526" s="60"/>
      <c r="G526" s="60"/>
      <c r="H526" s="60"/>
    </row>
    <row r="527">
      <c r="A527" s="12"/>
      <c r="B527" s="60"/>
      <c r="C527" s="60"/>
      <c r="D527" s="60"/>
      <c r="E527" s="60"/>
      <c r="F527" s="60"/>
      <c r="G527" s="60"/>
      <c r="H527" s="60"/>
    </row>
    <row r="528">
      <c r="A528" s="12"/>
      <c r="B528" s="60"/>
      <c r="C528" s="60"/>
      <c r="D528" s="60"/>
      <c r="E528" s="60"/>
      <c r="F528" s="60"/>
      <c r="G528" s="60"/>
      <c r="H528" s="60"/>
    </row>
    <row r="529">
      <c r="A529" s="12"/>
      <c r="B529" s="60"/>
      <c r="C529" s="60"/>
      <c r="D529" s="60"/>
      <c r="E529" s="60"/>
      <c r="F529" s="60"/>
      <c r="G529" s="60"/>
      <c r="H529" s="60"/>
    </row>
    <row r="530">
      <c r="A530" s="12"/>
      <c r="B530" s="60"/>
      <c r="C530" s="60"/>
      <c r="D530" s="60"/>
      <c r="E530" s="60"/>
      <c r="F530" s="60"/>
      <c r="G530" s="60"/>
      <c r="H530" s="60"/>
    </row>
    <row r="531">
      <c r="A531" s="12"/>
      <c r="B531" s="60"/>
      <c r="C531" s="60"/>
      <c r="D531" s="60"/>
      <c r="E531" s="60"/>
      <c r="F531" s="60"/>
      <c r="G531" s="60"/>
      <c r="H531" s="60"/>
    </row>
    <row r="532">
      <c r="A532" s="12"/>
      <c r="B532" s="60"/>
      <c r="C532" s="60"/>
      <c r="D532" s="60"/>
      <c r="E532" s="60"/>
      <c r="F532" s="60"/>
      <c r="G532" s="60"/>
      <c r="H532" s="60"/>
    </row>
    <row r="533">
      <c r="A533" s="12"/>
      <c r="B533" s="60"/>
      <c r="C533" s="60"/>
      <c r="D533" s="60"/>
      <c r="E533" s="60"/>
      <c r="F533" s="60"/>
      <c r="G533" s="60"/>
      <c r="H533" s="60"/>
    </row>
    <row r="534">
      <c r="A534" s="12"/>
      <c r="B534" s="60"/>
      <c r="C534" s="60"/>
      <c r="D534" s="60"/>
      <c r="E534" s="60"/>
      <c r="F534" s="60"/>
      <c r="G534" s="60"/>
      <c r="H534" s="60"/>
    </row>
    <row r="535">
      <c r="A535" s="12"/>
      <c r="B535" s="60"/>
      <c r="C535" s="60"/>
      <c r="D535" s="60"/>
      <c r="E535" s="60"/>
      <c r="F535" s="60"/>
      <c r="G535" s="60"/>
      <c r="H535" s="60"/>
    </row>
    <row r="536">
      <c r="A536" s="12"/>
      <c r="B536" s="60"/>
      <c r="C536" s="60"/>
      <c r="D536" s="60"/>
      <c r="E536" s="60"/>
      <c r="F536" s="60"/>
      <c r="G536" s="60"/>
      <c r="H536" s="60"/>
    </row>
    <row r="537">
      <c r="A537" s="12"/>
      <c r="B537" s="60"/>
      <c r="C537" s="60"/>
      <c r="D537" s="60"/>
      <c r="E537" s="60"/>
      <c r="F537" s="60"/>
      <c r="G537" s="60"/>
      <c r="H537" s="60"/>
    </row>
    <row r="538">
      <c r="A538" s="12"/>
      <c r="B538" s="60"/>
      <c r="C538" s="60"/>
      <c r="D538" s="60"/>
      <c r="E538" s="60"/>
      <c r="F538" s="60"/>
      <c r="G538" s="60"/>
      <c r="H538" s="60"/>
    </row>
    <row r="539">
      <c r="A539" s="12"/>
      <c r="B539" s="60"/>
      <c r="C539" s="60"/>
      <c r="D539" s="60"/>
      <c r="E539" s="60"/>
      <c r="F539" s="60"/>
      <c r="G539" s="60"/>
      <c r="H539" s="60"/>
    </row>
    <row r="540">
      <c r="A540" s="12"/>
      <c r="B540" s="60"/>
      <c r="C540" s="60"/>
      <c r="D540" s="60"/>
      <c r="E540" s="60"/>
      <c r="F540" s="60"/>
      <c r="G540" s="60"/>
      <c r="H540" s="60"/>
    </row>
    <row r="541">
      <c r="A541" s="12"/>
      <c r="B541" s="60"/>
      <c r="C541" s="60"/>
      <c r="D541" s="60"/>
      <c r="E541" s="60"/>
      <c r="F541" s="60"/>
      <c r="G541" s="60"/>
      <c r="H541" s="60"/>
    </row>
    <row r="542">
      <c r="A542" s="12"/>
      <c r="B542" s="60"/>
      <c r="C542" s="60"/>
      <c r="D542" s="60"/>
      <c r="E542" s="60"/>
      <c r="F542" s="60"/>
      <c r="G542" s="60"/>
      <c r="H542" s="60"/>
    </row>
    <row r="543">
      <c r="A543" s="12"/>
      <c r="B543" s="60"/>
      <c r="C543" s="60"/>
      <c r="D543" s="60"/>
      <c r="E543" s="60"/>
      <c r="F543" s="60"/>
      <c r="G543" s="60"/>
      <c r="H543" s="60"/>
    </row>
    <row r="544">
      <c r="A544" s="12"/>
      <c r="B544" s="60"/>
      <c r="C544" s="60"/>
      <c r="D544" s="60"/>
      <c r="E544" s="60"/>
      <c r="F544" s="60"/>
      <c r="G544" s="60"/>
      <c r="H544" s="60"/>
    </row>
    <row r="545">
      <c r="A545" s="12"/>
      <c r="B545" s="60"/>
      <c r="C545" s="60"/>
      <c r="D545" s="60"/>
      <c r="E545" s="60"/>
      <c r="F545" s="60"/>
      <c r="G545" s="60"/>
      <c r="H545" s="60"/>
    </row>
    <row r="546">
      <c r="A546" s="12"/>
      <c r="B546" s="60"/>
      <c r="C546" s="60"/>
      <c r="D546" s="60"/>
      <c r="E546" s="60"/>
      <c r="F546" s="60"/>
      <c r="G546" s="60"/>
      <c r="H546" s="60"/>
    </row>
    <row r="547">
      <c r="A547" s="12"/>
      <c r="B547" s="60"/>
      <c r="C547" s="60"/>
      <c r="D547" s="60"/>
      <c r="E547" s="60"/>
      <c r="F547" s="60"/>
      <c r="G547" s="60"/>
      <c r="H547" s="60"/>
    </row>
    <row r="548">
      <c r="A548" s="12"/>
      <c r="B548" s="60"/>
      <c r="C548" s="60"/>
      <c r="D548" s="60"/>
      <c r="E548" s="60"/>
      <c r="F548" s="60"/>
      <c r="G548" s="60"/>
      <c r="H548" s="60"/>
    </row>
    <row r="549">
      <c r="A549" s="12"/>
      <c r="B549" s="60"/>
      <c r="C549" s="60"/>
      <c r="D549" s="60"/>
      <c r="E549" s="60"/>
      <c r="F549" s="60"/>
      <c r="G549" s="60"/>
      <c r="H549" s="60"/>
    </row>
    <row r="550">
      <c r="A550" s="12"/>
      <c r="B550" s="60"/>
      <c r="C550" s="60"/>
      <c r="D550" s="60"/>
      <c r="E550" s="60"/>
      <c r="F550" s="60"/>
      <c r="G550" s="60"/>
      <c r="H550" s="60"/>
    </row>
    <row r="551">
      <c r="A551" s="12"/>
      <c r="B551" s="60"/>
      <c r="C551" s="60"/>
      <c r="D551" s="60"/>
      <c r="E551" s="60"/>
      <c r="F551" s="60"/>
      <c r="G551" s="60"/>
      <c r="H551" s="60"/>
    </row>
    <row r="552">
      <c r="A552" s="12"/>
      <c r="B552" s="60"/>
      <c r="C552" s="60"/>
      <c r="D552" s="60"/>
      <c r="E552" s="60"/>
      <c r="F552" s="60"/>
      <c r="G552" s="60"/>
      <c r="H552" s="60"/>
    </row>
    <row r="553">
      <c r="A553" s="12"/>
      <c r="B553" s="60"/>
      <c r="C553" s="60"/>
      <c r="D553" s="60"/>
      <c r="E553" s="60"/>
      <c r="F553" s="60"/>
      <c r="G553" s="60"/>
      <c r="H553" s="60"/>
    </row>
    <row r="554">
      <c r="A554" s="12"/>
      <c r="B554" s="60"/>
      <c r="C554" s="60"/>
      <c r="D554" s="60"/>
      <c r="E554" s="60"/>
      <c r="F554" s="60"/>
      <c r="G554" s="60"/>
      <c r="H554" s="60"/>
    </row>
    <row r="555">
      <c r="A555" s="12"/>
      <c r="B555" s="60"/>
      <c r="C555" s="60"/>
      <c r="D555" s="60"/>
      <c r="E555" s="60"/>
      <c r="F555" s="60"/>
      <c r="G555" s="60"/>
      <c r="H555" s="60"/>
    </row>
    <row r="556">
      <c r="A556" s="12"/>
      <c r="B556" s="60"/>
      <c r="C556" s="60"/>
      <c r="D556" s="60"/>
      <c r="E556" s="60"/>
      <c r="F556" s="60"/>
      <c r="G556" s="60"/>
      <c r="H556" s="60"/>
    </row>
    <row r="557">
      <c r="A557" s="12"/>
      <c r="B557" s="60"/>
      <c r="C557" s="60"/>
      <c r="D557" s="60"/>
      <c r="E557" s="60"/>
      <c r="F557" s="60"/>
      <c r="G557" s="60"/>
      <c r="H557" s="60"/>
    </row>
    <row r="558">
      <c r="A558" s="12"/>
      <c r="B558" s="60"/>
      <c r="C558" s="60"/>
      <c r="D558" s="60"/>
      <c r="E558" s="60"/>
      <c r="F558" s="60"/>
      <c r="G558" s="60"/>
      <c r="H558" s="60"/>
    </row>
    <row r="559">
      <c r="A559" s="12"/>
      <c r="B559" s="60"/>
      <c r="C559" s="60"/>
      <c r="D559" s="60"/>
      <c r="E559" s="60"/>
      <c r="F559" s="60"/>
      <c r="G559" s="60"/>
      <c r="H559" s="60"/>
    </row>
    <row r="560">
      <c r="A560" s="12"/>
      <c r="B560" s="60"/>
      <c r="C560" s="60"/>
      <c r="D560" s="60"/>
      <c r="E560" s="60"/>
      <c r="F560" s="60"/>
      <c r="G560" s="60"/>
      <c r="H560" s="60"/>
    </row>
    <row r="561">
      <c r="A561" s="12"/>
      <c r="B561" s="60"/>
      <c r="C561" s="60"/>
      <c r="D561" s="60"/>
      <c r="E561" s="60"/>
      <c r="F561" s="60"/>
      <c r="G561" s="60"/>
      <c r="H561" s="60"/>
    </row>
    <row r="562">
      <c r="A562" s="12"/>
      <c r="B562" s="60"/>
      <c r="C562" s="60"/>
      <c r="D562" s="60"/>
      <c r="E562" s="60"/>
      <c r="F562" s="60"/>
      <c r="G562" s="60"/>
      <c r="H562" s="60"/>
    </row>
    <row r="563">
      <c r="A563" s="12"/>
      <c r="B563" s="60"/>
      <c r="C563" s="60"/>
      <c r="D563" s="60"/>
      <c r="E563" s="60"/>
      <c r="F563" s="60"/>
      <c r="G563" s="60"/>
      <c r="H563" s="60"/>
    </row>
    <row r="564">
      <c r="A564" s="12"/>
      <c r="B564" s="60"/>
      <c r="C564" s="60"/>
      <c r="D564" s="60"/>
      <c r="E564" s="60"/>
      <c r="F564" s="60"/>
      <c r="G564" s="60"/>
      <c r="H564" s="60"/>
    </row>
    <row r="565">
      <c r="A565" s="12"/>
      <c r="B565" s="60"/>
      <c r="C565" s="60"/>
      <c r="D565" s="60"/>
      <c r="E565" s="60"/>
      <c r="F565" s="60"/>
      <c r="G565" s="60"/>
      <c r="H565" s="60"/>
    </row>
    <row r="566">
      <c r="A566" s="12"/>
      <c r="B566" s="60"/>
      <c r="C566" s="60"/>
      <c r="D566" s="60"/>
      <c r="E566" s="60"/>
      <c r="F566" s="60"/>
      <c r="G566" s="60"/>
      <c r="H566" s="60"/>
    </row>
    <row r="567">
      <c r="A567" s="12"/>
      <c r="B567" s="60"/>
      <c r="C567" s="60"/>
      <c r="D567" s="60"/>
      <c r="E567" s="60"/>
      <c r="F567" s="60"/>
      <c r="G567" s="60"/>
      <c r="H567" s="60"/>
    </row>
    <row r="568">
      <c r="A568" s="12"/>
      <c r="B568" s="60"/>
      <c r="C568" s="60"/>
      <c r="D568" s="60"/>
      <c r="E568" s="60"/>
      <c r="F568" s="60"/>
      <c r="G568" s="60"/>
      <c r="H568" s="60"/>
    </row>
    <row r="569">
      <c r="A569" s="12"/>
      <c r="B569" s="60"/>
      <c r="C569" s="60"/>
      <c r="D569" s="60"/>
      <c r="E569" s="60"/>
      <c r="F569" s="60"/>
      <c r="G569" s="60"/>
      <c r="H569" s="60"/>
    </row>
    <row r="570">
      <c r="A570" s="12"/>
      <c r="B570" s="60"/>
      <c r="C570" s="60"/>
      <c r="D570" s="60"/>
      <c r="E570" s="60"/>
      <c r="F570" s="60"/>
      <c r="G570" s="60"/>
      <c r="H570" s="60"/>
    </row>
    <row r="571">
      <c r="A571" s="12"/>
      <c r="B571" s="60"/>
      <c r="C571" s="60"/>
      <c r="D571" s="60"/>
      <c r="E571" s="60"/>
      <c r="F571" s="60"/>
      <c r="G571" s="60"/>
      <c r="H571" s="60"/>
    </row>
    <row r="572">
      <c r="A572" s="12"/>
      <c r="B572" s="60"/>
      <c r="C572" s="60"/>
      <c r="D572" s="60"/>
      <c r="E572" s="60"/>
      <c r="F572" s="60"/>
      <c r="G572" s="60"/>
      <c r="H572" s="60"/>
    </row>
    <row r="573">
      <c r="A573" s="12"/>
      <c r="B573" s="60"/>
      <c r="C573" s="60"/>
      <c r="D573" s="60"/>
      <c r="E573" s="60"/>
      <c r="F573" s="60"/>
      <c r="G573" s="60"/>
      <c r="H573" s="60"/>
    </row>
    <row r="574">
      <c r="A574" s="12"/>
      <c r="B574" s="60"/>
      <c r="C574" s="60"/>
      <c r="D574" s="60"/>
      <c r="E574" s="60"/>
      <c r="F574" s="60"/>
      <c r="G574" s="60"/>
      <c r="H574" s="60"/>
    </row>
    <row r="575">
      <c r="A575" s="12"/>
      <c r="B575" s="60"/>
      <c r="C575" s="60"/>
      <c r="D575" s="60"/>
      <c r="E575" s="60"/>
      <c r="F575" s="60"/>
      <c r="G575" s="60"/>
      <c r="H575" s="60"/>
    </row>
    <row r="576">
      <c r="A576" s="12"/>
      <c r="B576" s="60"/>
      <c r="C576" s="60"/>
      <c r="D576" s="60"/>
      <c r="E576" s="60"/>
      <c r="F576" s="60"/>
      <c r="G576" s="60"/>
      <c r="H576" s="60"/>
    </row>
    <row r="577">
      <c r="A577" s="12"/>
      <c r="B577" s="60"/>
      <c r="C577" s="60"/>
      <c r="D577" s="60"/>
      <c r="E577" s="60"/>
      <c r="F577" s="60"/>
      <c r="G577" s="60"/>
      <c r="H577" s="60"/>
    </row>
    <row r="578">
      <c r="A578" s="12"/>
      <c r="B578" s="60"/>
      <c r="C578" s="60"/>
      <c r="D578" s="60"/>
      <c r="E578" s="60"/>
      <c r="F578" s="60"/>
      <c r="G578" s="60"/>
      <c r="H578" s="60"/>
    </row>
    <row r="579">
      <c r="A579" s="12"/>
      <c r="B579" s="60"/>
      <c r="C579" s="60"/>
      <c r="D579" s="60"/>
      <c r="E579" s="60"/>
      <c r="F579" s="60"/>
      <c r="G579" s="60"/>
      <c r="H579" s="60"/>
    </row>
    <row r="580">
      <c r="A580" s="12"/>
      <c r="B580" s="60"/>
      <c r="C580" s="60"/>
      <c r="D580" s="60"/>
      <c r="E580" s="60"/>
      <c r="F580" s="60"/>
      <c r="G580" s="60"/>
      <c r="H580" s="60"/>
    </row>
    <row r="581">
      <c r="A581" s="12"/>
      <c r="B581" s="60"/>
      <c r="C581" s="60"/>
      <c r="D581" s="60"/>
      <c r="E581" s="60"/>
      <c r="F581" s="60"/>
      <c r="G581" s="60"/>
      <c r="H581" s="60"/>
    </row>
    <row r="582">
      <c r="A582" s="12"/>
      <c r="B582" s="60"/>
      <c r="C582" s="60"/>
      <c r="D582" s="60"/>
      <c r="E582" s="60"/>
      <c r="F582" s="60"/>
      <c r="G582" s="60"/>
      <c r="H582" s="60"/>
    </row>
    <row r="583">
      <c r="A583" s="12"/>
      <c r="B583" s="60"/>
      <c r="C583" s="60"/>
      <c r="D583" s="60"/>
      <c r="E583" s="60"/>
      <c r="F583" s="60"/>
      <c r="G583" s="60"/>
      <c r="H583" s="60"/>
    </row>
    <row r="584">
      <c r="A584" s="12"/>
      <c r="B584" s="60"/>
      <c r="C584" s="60"/>
      <c r="D584" s="60"/>
      <c r="E584" s="60"/>
      <c r="F584" s="60"/>
      <c r="G584" s="60"/>
      <c r="H584" s="60"/>
    </row>
    <row r="585">
      <c r="A585" s="12"/>
      <c r="B585" s="60"/>
      <c r="C585" s="60"/>
      <c r="D585" s="60"/>
      <c r="E585" s="60"/>
      <c r="F585" s="60"/>
      <c r="G585" s="60"/>
      <c r="H585" s="60"/>
    </row>
    <row r="586">
      <c r="A586" s="12"/>
      <c r="B586" s="60"/>
      <c r="C586" s="60"/>
      <c r="D586" s="60"/>
      <c r="E586" s="60"/>
      <c r="F586" s="60"/>
      <c r="G586" s="60"/>
      <c r="H586" s="60"/>
    </row>
    <row r="587">
      <c r="A587" s="12"/>
      <c r="B587" s="60"/>
      <c r="C587" s="60"/>
      <c r="D587" s="60"/>
      <c r="E587" s="60"/>
      <c r="F587" s="60"/>
      <c r="G587" s="60"/>
      <c r="H587" s="60"/>
    </row>
    <row r="588">
      <c r="A588" s="12"/>
      <c r="B588" s="60"/>
      <c r="C588" s="60"/>
      <c r="D588" s="60"/>
      <c r="E588" s="60"/>
      <c r="F588" s="60"/>
      <c r="G588" s="60"/>
      <c r="H588" s="60"/>
    </row>
    <row r="589">
      <c r="A589" s="12"/>
      <c r="B589" s="60"/>
      <c r="C589" s="60"/>
      <c r="D589" s="60"/>
      <c r="E589" s="60"/>
      <c r="F589" s="60"/>
      <c r="G589" s="60"/>
      <c r="H589" s="60"/>
    </row>
    <row r="590">
      <c r="A590" s="12"/>
      <c r="B590" s="60"/>
      <c r="C590" s="60"/>
      <c r="D590" s="60"/>
      <c r="E590" s="60"/>
      <c r="F590" s="60"/>
      <c r="G590" s="60"/>
      <c r="H590" s="60"/>
    </row>
    <row r="591">
      <c r="A591" s="12"/>
      <c r="B591" s="60"/>
      <c r="C591" s="60"/>
      <c r="D591" s="60"/>
      <c r="E591" s="60"/>
      <c r="F591" s="60"/>
      <c r="G591" s="60"/>
      <c r="H591" s="60"/>
    </row>
    <row r="592">
      <c r="A592" s="12"/>
      <c r="B592" s="60"/>
      <c r="C592" s="60"/>
      <c r="D592" s="60"/>
      <c r="E592" s="60"/>
      <c r="F592" s="60"/>
      <c r="G592" s="60"/>
      <c r="H592" s="60"/>
    </row>
    <row r="593">
      <c r="A593" s="12"/>
      <c r="B593" s="60"/>
      <c r="C593" s="60"/>
      <c r="D593" s="60"/>
      <c r="E593" s="60"/>
      <c r="F593" s="60"/>
      <c r="G593" s="60"/>
      <c r="H593" s="60"/>
    </row>
    <row r="594">
      <c r="A594" s="12"/>
      <c r="B594" s="60"/>
      <c r="C594" s="60"/>
      <c r="D594" s="60"/>
      <c r="E594" s="60"/>
      <c r="F594" s="60"/>
      <c r="G594" s="60"/>
      <c r="H594" s="60"/>
    </row>
    <row r="595">
      <c r="A595" s="12"/>
      <c r="B595" s="60"/>
      <c r="C595" s="60"/>
      <c r="D595" s="60"/>
      <c r="E595" s="60"/>
      <c r="F595" s="60"/>
      <c r="G595" s="60"/>
      <c r="H595" s="60"/>
    </row>
    <row r="596">
      <c r="A596" s="12"/>
      <c r="B596" s="60"/>
      <c r="C596" s="60"/>
      <c r="D596" s="60"/>
      <c r="E596" s="60"/>
      <c r="F596" s="60"/>
      <c r="G596" s="60"/>
      <c r="H596" s="60"/>
    </row>
    <row r="597">
      <c r="A597" s="12"/>
      <c r="B597" s="60"/>
      <c r="C597" s="60"/>
      <c r="D597" s="60"/>
      <c r="E597" s="60"/>
      <c r="F597" s="60"/>
      <c r="G597" s="60"/>
      <c r="H597" s="60"/>
    </row>
    <row r="598">
      <c r="A598" s="12"/>
      <c r="B598" s="60"/>
      <c r="C598" s="60"/>
      <c r="D598" s="60"/>
      <c r="E598" s="60"/>
      <c r="F598" s="60"/>
      <c r="G598" s="60"/>
      <c r="H598" s="60"/>
    </row>
    <row r="599">
      <c r="A599" s="12"/>
      <c r="B599" s="60"/>
      <c r="C599" s="60"/>
      <c r="D599" s="60"/>
      <c r="E599" s="60"/>
      <c r="F599" s="60"/>
      <c r="G599" s="60"/>
      <c r="H599" s="60"/>
    </row>
    <row r="600">
      <c r="A600" s="12"/>
      <c r="B600" s="60"/>
      <c r="C600" s="60"/>
      <c r="D600" s="60"/>
      <c r="E600" s="60"/>
      <c r="F600" s="60"/>
      <c r="G600" s="60"/>
      <c r="H600" s="60"/>
    </row>
    <row r="601">
      <c r="A601" s="12"/>
      <c r="B601" s="60"/>
      <c r="C601" s="60"/>
      <c r="D601" s="60"/>
      <c r="E601" s="60"/>
      <c r="F601" s="60"/>
      <c r="G601" s="60"/>
      <c r="H601" s="60"/>
    </row>
    <row r="602">
      <c r="A602" s="12"/>
      <c r="B602" s="60"/>
      <c r="C602" s="60"/>
      <c r="D602" s="60"/>
      <c r="E602" s="60"/>
      <c r="F602" s="60"/>
      <c r="G602" s="60"/>
      <c r="H602" s="60"/>
    </row>
    <row r="603">
      <c r="A603" s="12"/>
      <c r="B603" s="60"/>
      <c r="C603" s="60"/>
      <c r="D603" s="60"/>
      <c r="E603" s="60"/>
      <c r="F603" s="60"/>
      <c r="G603" s="60"/>
      <c r="H603" s="60"/>
    </row>
    <row r="604">
      <c r="A604" s="12"/>
      <c r="B604" s="60"/>
      <c r="C604" s="60"/>
      <c r="D604" s="60"/>
      <c r="E604" s="60"/>
      <c r="F604" s="60"/>
      <c r="G604" s="60"/>
      <c r="H604" s="60"/>
    </row>
    <row r="605">
      <c r="A605" s="12"/>
      <c r="B605" s="60"/>
      <c r="C605" s="60"/>
      <c r="D605" s="60"/>
      <c r="E605" s="60"/>
      <c r="F605" s="60"/>
      <c r="G605" s="60"/>
      <c r="H605" s="60"/>
    </row>
    <row r="606">
      <c r="A606" s="12"/>
      <c r="B606" s="60"/>
      <c r="C606" s="60"/>
      <c r="D606" s="60"/>
      <c r="E606" s="60"/>
      <c r="F606" s="60"/>
      <c r="G606" s="60"/>
      <c r="H606" s="60"/>
    </row>
    <row r="607">
      <c r="A607" s="12"/>
      <c r="B607" s="60"/>
      <c r="C607" s="60"/>
      <c r="D607" s="60"/>
      <c r="E607" s="60"/>
      <c r="F607" s="60"/>
      <c r="G607" s="60"/>
      <c r="H607" s="60"/>
    </row>
    <row r="608">
      <c r="A608" s="12"/>
      <c r="B608" s="60"/>
      <c r="C608" s="60"/>
      <c r="D608" s="60"/>
      <c r="E608" s="60"/>
      <c r="F608" s="60"/>
      <c r="G608" s="60"/>
      <c r="H608" s="60"/>
    </row>
    <row r="609">
      <c r="A609" s="12"/>
      <c r="B609" s="60"/>
      <c r="C609" s="60"/>
      <c r="D609" s="60"/>
      <c r="E609" s="60"/>
      <c r="F609" s="60"/>
      <c r="G609" s="60"/>
      <c r="H609" s="60"/>
    </row>
    <row r="610">
      <c r="A610" s="12"/>
      <c r="B610" s="60"/>
      <c r="C610" s="60"/>
      <c r="D610" s="60"/>
      <c r="E610" s="60"/>
      <c r="F610" s="60"/>
      <c r="G610" s="60"/>
      <c r="H610" s="60"/>
    </row>
    <row r="611">
      <c r="A611" s="12"/>
      <c r="B611" s="60"/>
      <c r="C611" s="60"/>
      <c r="D611" s="60"/>
      <c r="E611" s="60"/>
      <c r="F611" s="60"/>
      <c r="G611" s="60"/>
      <c r="H611" s="60"/>
    </row>
    <row r="612">
      <c r="A612" s="12"/>
      <c r="B612" s="60"/>
      <c r="C612" s="60"/>
      <c r="D612" s="60"/>
      <c r="E612" s="60"/>
      <c r="F612" s="60"/>
      <c r="G612" s="60"/>
      <c r="H612" s="60"/>
    </row>
    <row r="613">
      <c r="A613" s="12"/>
      <c r="B613" s="60"/>
      <c r="C613" s="60"/>
      <c r="D613" s="60"/>
      <c r="E613" s="60"/>
      <c r="F613" s="60"/>
      <c r="G613" s="60"/>
      <c r="H613" s="60"/>
    </row>
    <row r="614">
      <c r="A614" s="12"/>
      <c r="B614" s="60"/>
      <c r="C614" s="60"/>
      <c r="D614" s="60"/>
      <c r="E614" s="60"/>
      <c r="F614" s="60"/>
      <c r="G614" s="60"/>
      <c r="H614" s="60"/>
    </row>
    <row r="615">
      <c r="A615" s="12"/>
      <c r="B615" s="60"/>
      <c r="C615" s="60"/>
      <c r="D615" s="60"/>
      <c r="E615" s="60"/>
      <c r="F615" s="60"/>
      <c r="G615" s="60"/>
      <c r="H615" s="60"/>
    </row>
    <row r="616">
      <c r="A616" s="12"/>
      <c r="B616" s="60"/>
      <c r="C616" s="60"/>
      <c r="D616" s="60"/>
      <c r="E616" s="60"/>
      <c r="F616" s="60"/>
      <c r="G616" s="60"/>
      <c r="H616" s="60"/>
    </row>
    <row r="617">
      <c r="A617" s="12"/>
      <c r="B617" s="60"/>
      <c r="C617" s="60"/>
      <c r="D617" s="60"/>
      <c r="E617" s="60"/>
      <c r="F617" s="60"/>
      <c r="G617" s="60"/>
      <c r="H617" s="60"/>
    </row>
    <row r="618">
      <c r="A618" s="12"/>
      <c r="B618" s="60"/>
      <c r="C618" s="60"/>
      <c r="D618" s="60"/>
      <c r="E618" s="60"/>
      <c r="F618" s="60"/>
      <c r="G618" s="60"/>
      <c r="H618" s="60"/>
    </row>
    <row r="619">
      <c r="A619" s="12"/>
      <c r="B619" s="60"/>
      <c r="C619" s="60"/>
      <c r="D619" s="60"/>
      <c r="E619" s="60"/>
      <c r="F619" s="60"/>
      <c r="G619" s="60"/>
      <c r="H619" s="60"/>
    </row>
    <row r="620">
      <c r="A620" s="12"/>
      <c r="B620" s="60"/>
      <c r="C620" s="60"/>
      <c r="D620" s="60"/>
      <c r="E620" s="60"/>
      <c r="F620" s="60"/>
      <c r="G620" s="60"/>
      <c r="H620" s="60"/>
    </row>
    <row r="621">
      <c r="A621" s="12"/>
      <c r="B621" s="60"/>
      <c r="C621" s="60"/>
      <c r="D621" s="60"/>
      <c r="E621" s="60"/>
      <c r="F621" s="60"/>
      <c r="G621" s="60"/>
      <c r="H621" s="60"/>
    </row>
    <row r="622">
      <c r="A622" s="12"/>
      <c r="B622" s="60"/>
      <c r="C622" s="60"/>
      <c r="D622" s="60"/>
      <c r="E622" s="60"/>
      <c r="F622" s="60"/>
      <c r="G622" s="60"/>
      <c r="H622" s="60"/>
    </row>
    <row r="623">
      <c r="A623" s="12"/>
      <c r="B623" s="60"/>
      <c r="C623" s="60"/>
      <c r="D623" s="60"/>
      <c r="E623" s="60"/>
      <c r="F623" s="60"/>
      <c r="G623" s="60"/>
      <c r="H623" s="60"/>
    </row>
    <row r="624">
      <c r="A624" s="12"/>
      <c r="B624" s="60"/>
      <c r="C624" s="60"/>
      <c r="D624" s="60"/>
      <c r="E624" s="60"/>
      <c r="F624" s="60"/>
      <c r="G624" s="60"/>
      <c r="H624" s="60"/>
    </row>
    <row r="625">
      <c r="A625" s="12"/>
      <c r="B625" s="60"/>
      <c r="C625" s="60"/>
      <c r="D625" s="60"/>
      <c r="E625" s="60"/>
      <c r="F625" s="60"/>
      <c r="G625" s="60"/>
      <c r="H625" s="60"/>
    </row>
    <row r="626">
      <c r="A626" s="12"/>
      <c r="B626" s="60"/>
      <c r="C626" s="60"/>
      <c r="D626" s="60"/>
      <c r="E626" s="60"/>
      <c r="F626" s="60"/>
      <c r="G626" s="60"/>
      <c r="H626" s="60"/>
    </row>
    <row r="627">
      <c r="A627" s="12"/>
      <c r="B627" s="60"/>
      <c r="C627" s="60"/>
      <c r="D627" s="60"/>
      <c r="E627" s="60"/>
      <c r="F627" s="60"/>
      <c r="G627" s="60"/>
      <c r="H627" s="60"/>
    </row>
    <row r="628">
      <c r="A628" s="12"/>
      <c r="B628" s="60"/>
      <c r="C628" s="60"/>
      <c r="D628" s="60"/>
      <c r="E628" s="60"/>
      <c r="F628" s="60"/>
      <c r="G628" s="60"/>
      <c r="H628" s="60"/>
    </row>
    <row r="629">
      <c r="A629" s="12"/>
      <c r="B629" s="60"/>
      <c r="C629" s="60"/>
      <c r="D629" s="60"/>
      <c r="E629" s="60"/>
      <c r="F629" s="60"/>
      <c r="G629" s="60"/>
      <c r="H629" s="60"/>
    </row>
    <row r="630">
      <c r="A630" s="12"/>
      <c r="B630" s="60"/>
      <c r="C630" s="60"/>
      <c r="D630" s="60"/>
      <c r="E630" s="60"/>
      <c r="F630" s="60"/>
      <c r="G630" s="60"/>
      <c r="H630" s="60"/>
    </row>
    <row r="631">
      <c r="A631" s="12"/>
      <c r="B631" s="60"/>
      <c r="C631" s="60"/>
      <c r="D631" s="60"/>
      <c r="E631" s="60"/>
      <c r="F631" s="60"/>
      <c r="G631" s="60"/>
      <c r="H631" s="60"/>
    </row>
    <row r="632">
      <c r="A632" s="12"/>
      <c r="B632" s="60"/>
      <c r="C632" s="60"/>
      <c r="D632" s="60"/>
      <c r="E632" s="60"/>
      <c r="F632" s="60"/>
      <c r="G632" s="60"/>
      <c r="H632" s="60"/>
    </row>
    <row r="633">
      <c r="A633" s="12"/>
      <c r="B633" s="60"/>
      <c r="C633" s="60"/>
      <c r="D633" s="60"/>
      <c r="E633" s="60"/>
      <c r="F633" s="60"/>
      <c r="G633" s="60"/>
      <c r="H633" s="60"/>
    </row>
    <row r="634">
      <c r="A634" s="12"/>
      <c r="B634" s="60"/>
      <c r="C634" s="60"/>
      <c r="D634" s="60"/>
      <c r="E634" s="60"/>
      <c r="F634" s="60"/>
      <c r="G634" s="60"/>
      <c r="H634" s="60"/>
    </row>
    <row r="635">
      <c r="A635" s="12"/>
      <c r="B635" s="60"/>
      <c r="C635" s="60"/>
      <c r="D635" s="60"/>
      <c r="E635" s="60"/>
      <c r="F635" s="60"/>
      <c r="G635" s="60"/>
      <c r="H635" s="60"/>
    </row>
    <row r="636">
      <c r="A636" s="12"/>
      <c r="B636" s="60"/>
      <c r="C636" s="60"/>
      <c r="D636" s="60"/>
      <c r="E636" s="60"/>
      <c r="F636" s="60"/>
      <c r="G636" s="60"/>
      <c r="H636" s="60"/>
    </row>
    <row r="637">
      <c r="A637" s="12"/>
      <c r="B637" s="60"/>
      <c r="C637" s="60"/>
      <c r="D637" s="60"/>
      <c r="E637" s="60"/>
      <c r="F637" s="60"/>
      <c r="G637" s="60"/>
      <c r="H637" s="60"/>
    </row>
    <row r="638">
      <c r="A638" s="12"/>
      <c r="B638" s="60"/>
      <c r="C638" s="60"/>
      <c r="D638" s="60"/>
      <c r="E638" s="60"/>
      <c r="F638" s="60"/>
      <c r="G638" s="60"/>
      <c r="H638" s="60"/>
    </row>
    <row r="639">
      <c r="A639" s="12"/>
      <c r="B639" s="60"/>
      <c r="C639" s="60"/>
      <c r="D639" s="60"/>
      <c r="E639" s="60"/>
      <c r="F639" s="60"/>
      <c r="G639" s="60"/>
      <c r="H639" s="60"/>
    </row>
    <row r="640">
      <c r="A640" s="12"/>
      <c r="B640" s="60"/>
      <c r="C640" s="60"/>
      <c r="D640" s="60"/>
      <c r="E640" s="60"/>
      <c r="F640" s="60"/>
      <c r="G640" s="60"/>
      <c r="H640" s="60"/>
    </row>
    <row r="641">
      <c r="A641" s="12"/>
      <c r="B641" s="60"/>
      <c r="C641" s="60"/>
      <c r="D641" s="60"/>
      <c r="E641" s="60"/>
      <c r="F641" s="60"/>
      <c r="G641" s="60"/>
      <c r="H641" s="60"/>
    </row>
    <row r="642">
      <c r="A642" s="12"/>
      <c r="B642" s="60"/>
      <c r="C642" s="60"/>
      <c r="D642" s="60"/>
      <c r="E642" s="60"/>
      <c r="F642" s="60"/>
      <c r="G642" s="60"/>
      <c r="H642" s="60"/>
    </row>
    <row r="643">
      <c r="A643" s="12"/>
      <c r="B643" s="60"/>
      <c r="C643" s="60"/>
      <c r="D643" s="60"/>
      <c r="E643" s="60"/>
      <c r="F643" s="60"/>
      <c r="G643" s="60"/>
      <c r="H643" s="60"/>
    </row>
    <row r="644">
      <c r="A644" s="12"/>
      <c r="B644" s="60"/>
      <c r="C644" s="60"/>
      <c r="D644" s="60"/>
      <c r="E644" s="60"/>
      <c r="F644" s="60"/>
      <c r="G644" s="60"/>
      <c r="H644" s="60"/>
    </row>
    <row r="645">
      <c r="A645" s="12"/>
      <c r="B645" s="60"/>
      <c r="C645" s="60"/>
      <c r="D645" s="60"/>
      <c r="E645" s="60"/>
      <c r="F645" s="60"/>
      <c r="G645" s="60"/>
      <c r="H645" s="60"/>
    </row>
    <row r="646">
      <c r="A646" s="12"/>
      <c r="B646" s="60"/>
      <c r="C646" s="60"/>
      <c r="D646" s="60"/>
      <c r="E646" s="60"/>
      <c r="F646" s="60"/>
      <c r="G646" s="60"/>
      <c r="H646" s="60"/>
    </row>
    <row r="647">
      <c r="A647" s="12"/>
      <c r="B647" s="60"/>
      <c r="C647" s="60"/>
      <c r="D647" s="60"/>
      <c r="E647" s="60"/>
      <c r="F647" s="60"/>
      <c r="G647" s="60"/>
      <c r="H647" s="60"/>
    </row>
    <row r="648">
      <c r="A648" s="12"/>
      <c r="B648" s="60"/>
      <c r="C648" s="60"/>
      <c r="D648" s="60"/>
      <c r="E648" s="60"/>
      <c r="F648" s="60"/>
      <c r="G648" s="60"/>
      <c r="H648" s="60"/>
    </row>
    <row r="649">
      <c r="A649" s="12"/>
      <c r="B649" s="60"/>
      <c r="C649" s="60"/>
      <c r="D649" s="60"/>
      <c r="E649" s="60"/>
      <c r="F649" s="60"/>
      <c r="G649" s="60"/>
      <c r="H649" s="60"/>
    </row>
    <row r="650">
      <c r="A650" s="12"/>
      <c r="B650" s="60"/>
      <c r="C650" s="60"/>
      <c r="D650" s="60"/>
      <c r="E650" s="60"/>
      <c r="F650" s="60"/>
      <c r="G650" s="60"/>
      <c r="H650" s="60"/>
    </row>
    <row r="651">
      <c r="A651" s="12"/>
      <c r="B651" s="60"/>
      <c r="C651" s="60"/>
      <c r="D651" s="60"/>
      <c r="E651" s="60"/>
      <c r="F651" s="60"/>
      <c r="G651" s="60"/>
      <c r="H651" s="60"/>
    </row>
    <row r="652">
      <c r="A652" s="12"/>
      <c r="B652" s="60"/>
      <c r="C652" s="60"/>
      <c r="D652" s="60"/>
      <c r="E652" s="60"/>
      <c r="F652" s="60"/>
      <c r="G652" s="60"/>
      <c r="H652" s="60"/>
    </row>
    <row r="653">
      <c r="A653" s="12"/>
      <c r="B653" s="60"/>
      <c r="C653" s="60"/>
      <c r="D653" s="60"/>
      <c r="E653" s="60"/>
      <c r="F653" s="60"/>
      <c r="G653" s="60"/>
      <c r="H653" s="60"/>
    </row>
    <row r="654">
      <c r="A654" s="12"/>
      <c r="B654" s="60"/>
      <c r="C654" s="60"/>
      <c r="D654" s="60"/>
      <c r="E654" s="60"/>
      <c r="F654" s="60"/>
      <c r="G654" s="60"/>
      <c r="H654" s="60"/>
    </row>
    <row r="655">
      <c r="A655" s="12"/>
      <c r="B655" s="60"/>
      <c r="C655" s="60"/>
      <c r="D655" s="60"/>
      <c r="E655" s="60"/>
      <c r="F655" s="60"/>
      <c r="G655" s="60"/>
      <c r="H655" s="60"/>
    </row>
    <row r="656">
      <c r="A656" s="12"/>
      <c r="B656" s="60"/>
      <c r="C656" s="60"/>
      <c r="D656" s="60"/>
      <c r="E656" s="60"/>
      <c r="F656" s="60"/>
      <c r="G656" s="60"/>
      <c r="H656" s="60"/>
    </row>
    <row r="657">
      <c r="A657" s="12"/>
      <c r="B657" s="60"/>
      <c r="C657" s="60"/>
      <c r="D657" s="60"/>
      <c r="E657" s="60"/>
      <c r="F657" s="60"/>
      <c r="G657" s="60"/>
      <c r="H657" s="60"/>
    </row>
    <row r="658">
      <c r="A658" s="12"/>
      <c r="B658" s="60"/>
      <c r="C658" s="60"/>
      <c r="D658" s="60"/>
      <c r="E658" s="60"/>
      <c r="F658" s="60"/>
      <c r="G658" s="60"/>
      <c r="H658" s="60"/>
    </row>
    <row r="659">
      <c r="A659" s="12"/>
      <c r="B659" s="60"/>
      <c r="C659" s="60"/>
      <c r="D659" s="60"/>
      <c r="E659" s="60"/>
      <c r="F659" s="60"/>
      <c r="G659" s="60"/>
      <c r="H659" s="60"/>
    </row>
    <row r="660">
      <c r="A660" s="12"/>
      <c r="B660" s="60"/>
      <c r="C660" s="60"/>
      <c r="D660" s="60"/>
      <c r="E660" s="60"/>
      <c r="F660" s="60"/>
      <c r="G660" s="60"/>
      <c r="H660" s="60"/>
    </row>
    <row r="661">
      <c r="A661" s="12"/>
      <c r="B661" s="60"/>
      <c r="C661" s="60"/>
      <c r="D661" s="60"/>
      <c r="E661" s="60"/>
      <c r="F661" s="60"/>
      <c r="G661" s="60"/>
      <c r="H661" s="60"/>
    </row>
    <row r="662">
      <c r="A662" s="12"/>
      <c r="B662" s="60"/>
      <c r="C662" s="60"/>
      <c r="D662" s="60"/>
      <c r="E662" s="60"/>
      <c r="F662" s="60"/>
      <c r="G662" s="60"/>
      <c r="H662" s="60"/>
    </row>
    <row r="663">
      <c r="A663" s="12"/>
      <c r="B663" s="60"/>
      <c r="C663" s="60"/>
      <c r="D663" s="60"/>
      <c r="E663" s="60"/>
      <c r="F663" s="60"/>
      <c r="G663" s="60"/>
      <c r="H663" s="60"/>
    </row>
    <row r="664">
      <c r="A664" s="12"/>
      <c r="B664" s="60"/>
      <c r="C664" s="60"/>
      <c r="D664" s="60"/>
      <c r="E664" s="60"/>
      <c r="F664" s="60"/>
      <c r="G664" s="60"/>
      <c r="H664" s="60"/>
    </row>
    <row r="665">
      <c r="A665" s="12"/>
      <c r="B665" s="60"/>
      <c r="C665" s="60"/>
      <c r="D665" s="60"/>
      <c r="E665" s="60"/>
      <c r="F665" s="60"/>
      <c r="G665" s="60"/>
      <c r="H665" s="60"/>
    </row>
    <row r="666">
      <c r="A666" s="12"/>
      <c r="B666" s="60"/>
      <c r="C666" s="60"/>
      <c r="D666" s="60"/>
      <c r="E666" s="60"/>
      <c r="F666" s="60"/>
      <c r="G666" s="60"/>
      <c r="H666" s="60"/>
    </row>
    <row r="667">
      <c r="A667" s="12"/>
      <c r="B667" s="60"/>
      <c r="C667" s="60"/>
      <c r="D667" s="60"/>
      <c r="E667" s="60"/>
      <c r="F667" s="60"/>
      <c r="G667" s="60"/>
      <c r="H667" s="60"/>
    </row>
    <row r="668">
      <c r="A668" s="12"/>
      <c r="B668" s="60"/>
      <c r="C668" s="60"/>
      <c r="D668" s="60"/>
      <c r="E668" s="60"/>
      <c r="F668" s="60"/>
      <c r="G668" s="60"/>
      <c r="H668" s="60"/>
    </row>
    <row r="669">
      <c r="A669" s="12"/>
      <c r="B669" s="60"/>
      <c r="C669" s="60"/>
      <c r="D669" s="60"/>
      <c r="E669" s="60"/>
      <c r="F669" s="60"/>
      <c r="G669" s="60"/>
      <c r="H669" s="60"/>
    </row>
    <row r="670">
      <c r="A670" s="12"/>
      <c r="B670" s="60"/>
      <c r="C670" s="60"/>
      <c r="D670" s="60"/>
      <c r="E670" s="60"/>
      <c r="F670" s="60"/>
      <c r="G670" s="60"/>
      <c r="H670" s="60"/>
    </row>
    <row r="671">
      <c r="A671" s="12"/>
      <c r="B671" s="60"/>
      <c r="C671" s="60"/>
      <c r="D671" s="60"/>
      <c r="E671" s="60"/>
      <c r="F671" s="60"/>
      <c r="G671" s="60"/>
      <c r="H671" s="60"/>
    </row>
    <row r="672">
      <c r="A672" s="12"/>
      <c r="B672" s="60"/>
      <c r="C672" s="60"/>
      <c r="D672" s="60"/>
      <c r="E672" s="60"/>
      <c r="F672" s="60"/>
      <c r="G672" s="60"/>
      <c r="H672" s="60"/>
    </row>
    <row r="673">
      <c r="A673" s="12"/>
      <c r="B673" s="60"/>
      <c r="C673" s="60"/>
      <c r="D673" s="60"/>
      <c r="E673" s="60"/>
      <c r="F673" s="60"/>
      <c r="G673" s="60"/>
      <c r="H673" s="60"/>
    </row>
    <row r="674">
      <c r="A674" s="12"/>
      <c r="B674" s="60"/>
      <c r="C674" s="60"/>
      <c r="D674" s="60"/>
      <c r="E674" s="60"/>
      <c r="F674" s="60"/>
      <c r="G674" s="60"/>
      <c r="H674" s="60"/>
    </row>
    <row r="675">
      <c r="A675" s="12"/>
      <c r="B675" s="60"/>
      <c r="C675" s="60"/>
      <c r="D675" s="60"/>
      <c r="E675" s="60"/>
      <c r="F675" s="60"/>
      <c r="G675" s="60"/>
      <c r="H675" s="60"/>
    </row>
    <row r="676">
      <c r="A676" s="12"/>
      <c r="B676" s="60"/>
      <c r="C676" s="60"/>
      <c r="D676" s="60"/>
      <c r="E676" s="60"/>
      <c r="F676" s="60"/>
      <c r="G676" s="60"/>
      <c r="H676" s="60"/>
    </row>
    <row r="677">
      <c r="A677" s="12"/>
      <c r="B677" s="60"/>
      <c r="C677" s="60"/>
      <c r="D677" s="60"/>
      <c r="E677" s="60"/>
      <c r="F677" s="60"/>
      <c r="G677" s="60"/>
      <c r="H677" s="60"/>
    </row>
    <row r="678">
      <c r="A678" s="12"/>
      <c r="B678" s="60"/>
      <c r="C678" s="60"/>
      <c r="D678" s="60"/>
      <c r="E678" s="60"/>
      <c r="F678" s="60"/>
      <c r="G678" s="60"/>
      <c r="H678" s="60"/>
    </row>
    <row r="679">
      <c r="A679" s="12"/>
      <c r="B679" s="60"/>
      <c r="C679" s="60"/>
      <c r="D679" s="60"/>
      <c r="E679" s="60"/>
      <c r="F679" s="60"/>
      <c r="G679" s="60"/>
      <c r="H679" s="60"/>
    </row>
    <row r="680">
      <c r="A680" s="12"/>
      <c r="B680" s="60"/>
      <c r="C680" s="60"/>
      <c r="D680" s="60"/>
      <c r="E680" s="60"/>
      <c r="F680" s="60"/>
      <c r="G680" s="60"/>
      <c r="H680" s="60"/>
    </row>
    <row r="681">
      <c r="A681" s="12"/>
      <c r="B681" s="60"/>
      <c r="C681" s="60"/>
      <c r="D681" s="60"/>
      <c r="E681" s="60"/>
      <c r="F681" s="60"/>
      <c r="G681" s="60"/>
      <c r="H681" s="60"/>
    </row>
    <row r="682">
      <c r="A682" s="12"/>
      <c r="B682" s="60"/>
      <c r="C682" s="60"/>
      <c r="D682" s="60"/>
      <c r="E682" s="60"/>
      <c r="F682" s="60"/>
      <c r="G682" s="60"/>
      <c r="H682" s="60"/>
    </row>
    <row r="683">
      <c r="A683" s="12"/>
      <c r="B683" s="60"/>
      <c r="C683" s="60"/>
      <c r="D683" s="60"/>
      <c r="E683" s="60"/>
      <c r="F683" s="60"/>
      <c r="G683" s="60"/>
      <c r="H683" s="60"/>
    </row>
    <row r="684">
      <c r="A684" s="12"/>
      <c r="B684" s="60"/>
      <c r="C684" s="60"/>
      <c r="D684" s="60"/>
      <c r="E684" s="60"/>
      <c r="F684" s="60"/>
      <c r="G684" s="60"/>
      <c r="H684" s="60"/>
    </row>
    <row r="685">
      <c r="A685" s="12"/>
      <c r="B685" s="60"/>
      <c r="C685" s="60"/>
      <c r="D685" s="60"/>
      <c r="E685" s="60"/>
      <c r="F685" s="60"/>
      <c r="G685" s="60"/>
      <c r="H685" s="60"/>
    </row>
    <row r="686">
      <c r="A686" s="12"/>
      <c r="B686" s="60"/>
      <c r="C686" s="60"/>
      <c r="D686" s="60"/>
      <c r="E686" s="60"/>
      <c r="F686" s="60"/>
      <c r="G686" s="60"/>
      <c r="H686" s="60"/>
    </row>
    <row r="687">
      <c r="A687" s="12"/>
      <c r="B687" s="60"/>
      <c r="C687" s="60"/>
      <c r="D687" s="60"/>
      <c r="E687" s="60"/>
      <c r="F687" s="60"/>
      <c r="G687" s="60"/>
      <c r="H687" s="60"/>
    </row>
    <row r="688">
      <c r="A688" s="12"/>
      <c r="B688" s="60"/>
      <c r="C688" s="60"/>
      <c r="D688" s="60"/>
      <c r="E688" s="60"/>
      <c r="F688" s="60"/>
      <c r="G688" s="60"/>
      <c r="H688" s="60"/>
    </row>
    <row r="689">
      <c r="A689" s="12"/>
      <c r="B689" s="60"/>
      <c r="C689" s="60"/>
      <c r="D689" s="60"/>
      <c r="E689" s="60"/>
      <c r="F689" s="60"/>
      <c r="G689" s="60"/>
      <c r="H689" s="60"/>
    </row>
    <row r="690">
      <c r="A690" s="12"/>
      <c r="B690" s="60"/>
      <c r="C690" s="60"/>
      <c r="D690" s="60"/>
      <c r="E690" s="60"/>
      <c r="F690" s="60"/>
      <c r="G690" s="60"/>
      <c r="H690" s="60"/>
    </row>
    <row r="691">
      <c r="A691" s="12"/>
      <c r="B691" s="60"/>
      <c r="C691" s="60"/>
      <c r="D691" s="60"/>
      <c r="E691" s="60"/>
      <c r="F691" s="60"/>
      <c r="G691" s="60"/>
      <c r="H691" s="60"/>
    </row>
    <row r="692">
      <c r="A692" s="12"/>
      <c r="B692" s="60"/>
      <c r="C692" s="60"/>
      <c r="D692" s="60"/>
      <c r="E692" s="60"/>
      <c r="F692" s="60"/>
      <c r="G692" s="60"/>
      <c r="H692" s="60"/>
    </row>
    <row r="693">
      <c r="A693" s="12"/>
      <c r="B693" s="60"/>
      <c r="C693" s="60"/>
      <c r="D693" s="60"/>
      <c r="E693" s="60"/>
      <c r="F693" s="60"/>
      <c r="G693" s="60"/>
      <c r="H693" s="60"/>
    </row>
    <row r="694">
      <c r="A694" s="12"/>
      <c r="B694" s="60"/>
      <c r="C694" s="60"/>
      <c r="D694" s="60"/>
      <c r="E694" s="60"/>
      <c r="F694" s="60"/>
      <c r="G694" s="60"/>
      <c r="H694" s="60"/>
    </row>
    <row r="695">
      <c r="A695" s="12"/>
      <c r="B695" s="60"/>
      <c r="C695" s="60"/>
      <c r="D695" s="60"/>
      <c r="E695" s="60"/>
      <c r="F695" s="60"/>
      <c r="G695" s="60"/>
      <c r="H695" s="60"/>
    </row>
    <row r="696">
      <c r="A696" s="12"/>
      <c r="B696" s="60"/>
      <c r="C696" s="60"/>
      <c r="D696" s="60"/>
      <c r="E696" s="60"/>
      <c r="F696" s="60"/>
      <c r="G696" s="60"/>
      <c r="H696" s="60"/>
    </row>
    <row r="697">
      <c r="A697" s="12"/>
      <c r="B697" s="60"/>
      <c r="C697" s="60"/>
      <c r="D697" s="60"/>
      <c r="E697" s="60"/>
      <c r="F697" s="60"/>
      <c r="G697" s="60"/>
      <c r="H697" s="60"/>
    </row>
    <row r="698">
      <c r="A698" s="12"/>
      <c r="B698" s="60"/>
      <c r="C698" s="60"/>
      <c r="D698" s="60"/>
      <c r="E698" s="60"/>
      <c r="F698" s="60"/>
      <c r="G698" s="60"/>
      <c r="H698" s="60"/>
    </row>
    <row r="699">
      <c r="A699" s="12"/>
      <c r="B699" s="60"/>
      <c r="C699" s="60"/>
      <c r="D699" s="60"/>
      <c r="E699" s="60"/>
      <c r="F699" s="60"/>
      <c r="G699" s="60"/>
      <c r="H699" s="60"/>
    </row>
    <row r="700">
      <c r="A700" s="12"/>
      <c r="B700" s="60"/>
      <c r="C700" s="60"/>
      <c r="D700" s="60"/>
      <c r="E700" s="60"/>
      <c r="F700" s="60"/>
      <c r="G700" s="60"/>
      <c r="H700" s="60"/>
    </row>
    <row r="701">
      <c r="A701" s="12"/>
      <c r="B701" s="60"/>
      <c r="C701" s="60"/>
      <c r="D701" s="60"/>
      <c r="E701" s="60"/>
      <c r="F701" s="60"/>
      <c r="G701" s="60"/>
      <c r="H701" s="60"/>
    </row>
    <row r="702">
      <c r="A702" s="12"/>
      <c r="B702" s="60"/>
      <c r="C702" s="60"/>
      <c r="D702" s="60"/>
      <c r="E702" s="60"/>
      <c r="F702" s="60"/>
      <c r="G702" s="60"/>
      <c r="H702" s="60"/>
    </row>
    <row r="703">
      <c r="A703" s="12"/>
      <c r="B703" s="60"/>
      <c r="C703" s="60"/>
      <c r="D703" s="60"/>
      <c r="E703" s="60"/>
      <c r="F703" s="60"/>
      <c r="G703" s="60"/>
      <c r="H703" s="60"/>
    </row>
    <row r="704">
      <c r="A704" s="12"/>
      <c r="B704" s="60"/>
      <c r="C704" s="60"/>
      <c r="D704" s="60"/>
      <c r="E704" s="60"/>
      <c r="F704" s="60"/>
      <c r="G704" s="60"/>
      <c r="H704" s="60"/>
    </row>
    <row r="705">
      <c r="A705" s="12"/>
      <c r="B705" s="60"/>
      <c r="C705" s="60"/>
      <c r="D705" s="60"/>
      <c r="E705" s="60"/>
      <c r="F705" s="60"/>
      <c r="G705" s="60"/>
      <c r="H705" s="60"/>
    </row>
    <row r="706">
      <c r="A706" s="12"/>
      <c r="B706" s="60"/>
      <c r="C706" s="60"/>
      <c r="D706" s="60"/>
      <c r="E706" s="60"/>
      <c r="F706" s="60"/>
      <c r="G706" s="60"/>
      <c r="H706" s="60"/>
    </row>
    <row r="707">
      <c r="A707" s="12"/>
      <c r="B707" s="60"/>
      <c r="C707" s="60"/>
      <c r="D707" s="60"/>
      <c r="E707" s="60"/>
      <c r="F707" s="60"/>
      <c r="G707" s="60"/>
      <c r="H707" s="60"/>
    </row>
    <row r="708">
      <c r="A708" s="12"/>
      <c r="B708" s="60"/>
      <c r="C708" s="60"/>
      <c r="D708" s="60"/>
      <c r="E708" s="60"/>
      <c r="F708" s="60"/>
      <c r="G708" s="60"/>
      <c r="H708" s="60"/>
    </row>
    <row r="709">
      <c r="A709" s="12"/>
      <c r="B709" s="60"/>
      <c r="C709" s="60"/>
      <c r="D709" s="60"/>
      <c r="E709" s="60"/>
      <c r="F709" s="60"/>
      <c r="G709" s="60"/>
      <c r="H709" s="60"/>
    </row>
    <row r="710">
      <c r="A710" s="12"/>
      <c r="B710" s="60"/>
      <c r="C710" s="60"/>
      <c r="D710" s="60"/>
      <c r="E710" s="60"/>
      <c r="F710" s="60"/>
      <c r="G710" s="60"/>
      <c r="H710" s="60"/>
    </row>
    <row r="711">
      <c r="A711" s="12"/>
      <c r="B711" s="60"/>
      <c r="C711" s="60"/>
      <c r="D711" s="60"/>
      <c r="E711" s="60"/>
      <c r="F711" s="60"/>
      <c r="G711" s="60"/>
      <c r="H711" s="60"/>
    </row>
    <row r="712">
      <c r="A712" s="12"/>
      <c r="B712" s="60"/>
      <c r="C712" s="60"/>
      <c r="D712" s="60"/>
      <c r="E712" s="60"/>
      <c r="F712" s="60"/>
      <c r="G712" s="60"/>
      <c r="H712" s="60"/>
    </row>
    <row r="713">
      <c r="A713" s="12"/>
      <c r="B713" s="60"/>
      <c r="C713" s="60"/>
      <c r="D713" s="60"/>
      <c r="E713" s="60"/>
      <c r="F713" s="60"/>
      <c r="G713" s="60"/>
      <c r="H713" s="60"/>
    </row>
    <row r="714">
      <c r="A714" s="12"/>
      <c r="B714" s="60"/>
      <c r="C714" s="60"/>
      <c r="D714" s="60"/>
      <c r="E714" s="60"/>
      <c r="F714" s="60"/>
      <c r="G714" s="60"/>
      <c r="H714" s="60"/>
    </row>
    <row r="715">
      <c r="A715" s="12"/>
      <c r="B715" s="60"/>
      <c r="C715" s="60"/>
      <c r="D715" s="60"/>
      <c r="E715" s="60"/>
      <c r="F715" s="60"/>
      <c r="G715" s="60"/>
      <c r="H715" s="60"/>
    </row>
    <row r="716">
      <c r="A716" s="12"/>
      <c r="B716" s="60"/>
      <c r="C716" s="60"/>
      <c r="D716" s="60"/>
      <c r="E716" s="60"/>
      <c r="F716" s="60"/>
      <c r="G716" s="60"/>
      <c r="H716" s="60"/>
    </row>
    <row r="717">
      <c r="A717" s="12"/>
      <c r="B717" s="60"/>
      <c r="C717" s="60"/>
      <c r="D717" s="60"/>
      <c r="E717" s="60"/>
      <c r="F717" s="60"/>
      <c r="G717" s="60"/>
      <c r="H717" s="60"/>
    </row>
    <row r="718">
      <c r="A718" s="12"/>
      <c r="B718" s="60"/>
      <c r="C718" s="60"/>
      <c r="D718" s="60"/>
      <c r="E718" s="60"/>
      <c r="F718" s="60"/>
      <c r="G718" s="60"/>
      <c r="H718" s="60"/>
    </row>
    <row r="719">
      <c r="A719" s="12"/>
      <c r="B719" s="60"/>
      <c r="C719" s="60"/>
      <c r="D719" s="60"/>
      <c r="E719" s="60"/>
      <c r="F719" s="60"/>
      <c r="G719" s="60"/>
      <c r="H719" s="60"/>
    </row>
    <row r="720">
      <c r="A720" s="12"/>
      <c r="B720" s="60"/>
      <c r="C720" s="60"/>
      <c r="D720" s="60"/>
      <c r="E720" s="60"/>
      <c r="F720" s="60"/>
      <c r="G720" s="60"/>
      <c r="H720" s="60"/>
    </row>
    <row r="721">
      <c r="A721" s="12"/>
      <c r="B721" s="60"/>
      <c r="C721" s="60"/>
      <c r="D721" s="60"/>
      <c r="E721" s="60"/>
      <c r="F721" s="60"/>
      <c r="G721" s="60"/>
      <c r="H721" s="60"/>
    </row>
    <row r="722">
      <c r="A722" s="12"/>
      <c r="B722" s="60"/>
      <c r="C722" s="60"/>
      <c r="D722" s="60"/>
      <c r="E722" s="60"/>
      <c r="F722" s="60"/>
      <c r="G722" s="60"/>
      <c r="H722" s="60"/>
    </row>
    <row r="723">
      <c r="A723" s="12"/>
      <c r="B723" s="60"/>
      <c r="C723" s="60"/>
      <c r="D723" s="60"/>
      <c r="E723" s="60"/>
      <c r="F723" s="60"/>
      <c r="G723" s="60"/>
      <c r="H723" s="60"/>
    </row>
    <row r="724">
      <c r="A724" s="12"/>
      <c r="B724" s="60"/>
      <c r="C724" s="60"/>
      <c r="D724" s="60"/>
      <c r="E724" s="60"/>
      <c r="F724" s="60"/>
      <c r="G724" s="60"/>
      <c r="H724" s="60"/>
    </row>
    <row r="725">
      <c r="A725" s="12"/>
      <c r="B725" s="60"/>
      <c r="C725" s="60"/>
      <c r="D725" s="60"/>
      <c r="E725" s="60"/>
      <c r="F725" s="60"/>
      <c r="G725" s="60"/>
      <c r="H725" s="60"/>
    </row>
    <row r="726">
      <c r="A726" s="12"/>
      <c r="B726" s="60"/>
      <c r="C726" s="60"/>
      <c r="D726" s="60"/>
      <c r="E726" s="60"/>
      <c r="F726" s="60"/>
      <c r="G726" s="60"/>
      <c r="H726" s="60"/>
    </row>
    <row r="727">
      <c r="A727" s="12"/>
      <c r="B727" s="60"/>
      <c r="C727" s="60"/>
      <c r="D727" s="60"/>
      <c r="E727" s="60"/>
      <c r="F727" s="60"/>
      <c r="G727" s="60"/>
      <c r="H727" s="60"/>
    </row>
    <row r="728">
      <c r="A728" s="12"/>
      <c r="B728" s="60"/>
      <c r="C728" s="60"/>
      <c r="D728" s="60"/>
      <c r="E728" s="60"/>
      <c r="F728" s="60"/>
      <c r="G728" s="60"/>
      <c r="H728" s="60"/>
    </row>
    <row r="729">
      <c r="A729" s="12"/>
      <c r="B729" s="60"/>
      <c r="C729" s="60"/>
      <c r="D729" s="60"/>
      <c r="E729" s="60"/>
      <c r="F729" s="60"/>
      <c r="G729" s="60"/>
      <c r="H729" s="60"/>
    </row>
    <row r="730">
      <c r="A730" s="12"/>
      <c r="B730" s="60"/>
      <c r="C730" s="60"/>
      <c r="D730" s="60"/>
      <c r="E730" s="60"/>
      <c r="F730" s="60"/>
      <c r="G730" s="60"/>
      <c r="H730" s="60"/>
    </row>
    <row r="731">
      <c r="A731" s="12"/>
      <c r="B731" s="60"/>
      <c r="C731" s="60"/>
      <c r="D731" s="60"/>
      <c r="E731" s="60"/>
      <c r="F731" s="60"/>
      <c r="G731" s="60"/>
      <c r="H731" s="60"/>
    </row>
    <row r="732">
      <c r="A732" s="12"/>
      <c r="B732" s="60"/>
      <c r="C732" s="60"/>
      <c r="D732" s="60"/>
      <c r="E732" s="60"/>
      <c r="F732" s="60"/>
      <c r="G732" s="60"/>
      <c r="H732" s="60"/>
    </row>
    <row r="733">
      <c r="A733" s="12"/>
      <c r="B733" s="60"/>
      <c r="C733" s="60"/>
      <c r="D733" s="60"/>
      <c r="E733" s="60"/>
      <c r="F733" s="60"/>
      <c r="G733" s="60"/>
      <c r="H733" s="60"/>
    </row>
    <row r="734">
      <c r="A734" s="12"/>
      <c r="B734" s="60"/>
      <c r="C734" s="60"/>
      <c r="D734" s="60"/>
      <c r="E734" s="60"/>
      <c r="F734" s="60"/>
      <c r="G734" s="60"/>
      <c r="H734" s="60"/>
    </row>
    <row r="735">
      <c r="A735" s="12"/>
      <c r="B735" s="60"/>
      <c r="C735" s="60"/>
      <c r="D735" s="60"/>
      <c r="E735" s="60"/>
      <c r="F735" s="60"/>
      <c r="G735" s="60"/>
      <c r="H735" s="60"/>
    </row>
    <row r="736">
      <c r="A736" s="12"/>
      <c r="B736" s="60"/>
      <c r="C736" s="60"/>
      <c r="D736" s="60"/>
      <c r="E736" s="60"/>
      <c r="F736" s="60"/>
      <c r="G736" s="60"/>
      <c r="H736" s="60"/>
    </row>
    <row r="737">
      <c r="A737" s="12"/>
      <c r="B737" s="60"/>
      <c r="C737" s="60"/>
      <c r="D737" s="60"/>
      <c r="E737" s="60"/>
      <c r="F737" s="60"/>
      <c r="G737" s="60"/>
      <c r="H737" s="60"/>
    </row>
    <row r="738">
      <c r="A738" s="12"/>
      <c r="B738" s="60"/>
      <c r="C738" s="60"/>
      <c r="D738" s="60"/>
      <c r="E738" s="60"/>
      <c r="F738" s="60"/>
      <c r="G738" s="60"/>
      <c r="H738" s="60"/>
    </row>
    <row r="739">
      <c r="A739" s="12"/>
      <c r="B739" s="60"/>
      <c r="C739" s="60"/>
      <c r="D739" s="60"/>
      <c r="E739" s="60"/>
      <c r="F739" s="60"/>
      <c r="G739" s="60"/>
      <c r="H739" s="60"/>
    </row>
    <row r="740">
      <c r="A740" s="12"/>
      <c r="B740" s="60"/>
      <c r="C740" s="60"/>
      <c r="D740" s="60"/>
      <c r="E740" s="60"/>
      <c r="F740" s="60"/>
      <c r="G740" s="60"/>
      <c r="H740" s="60"/>
    </row>
    <row r="741">
      <c r="A741" s="12"/>
      <c r="B741" s="60"/>
      <c r="C741" s="60"/>
      <c r="D741" s="60"/>
      <c r="E741" s="60"/>
      <c r="F741" s="60"/>
      <c r="G741" s="60"/>
      <c r="H741" s="60"/>
    </row>
    <row r="742">
      <c r="A742" s="12"/>
      <c r="B742" s="60"/>
      <c r="C742" s="60"/>
      <c r="D742" s="60"/>
      <c r="E742" s="60"/>
      <c r="F742" s="60"/>
      <c r="G742" s="60"/>
      <c r="H742" s="60"/>
    </row>
    <row r="743">
      <c r="A743" s="12"/>
      <c r="B743" s="60"/>
      <c r="C743" s="60"/>
      <c r="D743" s="60"/>
      <c r="E743" s="60"/>
      <c r="F743" s="60"/>
      <c r="G743" s="60"/>
      <c r="H743" s="60"/>
    </row>
    <row r="744">
      <c r="A744" s="12"/>
      <c r="B744" s="60"/>
      <c r="C744" s="60"/>
      <c r="D744" s="60"/>
      <c r="E744" s="60"/>
      <c r="F744" s="60"/>
      <c r="G744" s="60"/>
      <c r="H744" s="60"/>
    </row>
    <row r="745">
      <c r="A745" s="12"/>
      <c r="B745" s="60"/>
      <c r="C745" s="60"/>
      <c r="D745" s="60"/>
      <c r="E745" s="60"/>
      <c r="F745" s="60"/>
      <c r="G745" s="60"/>
      <c r="H745" s="60"/>
    </row>
    <row r="746">
      <c r="A746" s="12"/>
      <c r="B746" s="60"/>
      <c r="C746" s="60"/>
      <c r="D746" s="60"/>
      <c r="E746" s="60"/>
      <c r="F746" s="60"/>
      <c r="G746" s="60"/>
      <c r="H746" s="60"/>
    </row>
    <row r="747">
      <c r="A747" s="12"/>
      <c r="B747" s="60"/>
      <c r="C747" s="60"/>
      <c r="D747" s="60"/>
      <c r="E747" s="60"/>
      <c r="F747" s="60"/>
      <c r="G747" s="60"/>
      <c r="H747" s="60"/>
    </row>
    <row r="748">
      <c r="A748" s="12"/>
      <c r="B748" s="60"/>
      <c r="C748" s="60"/>
      <c r="D748" s="60"/>
      <c r="E748" s="60"/>
      <c r="F748" s="60"/>
      <c r="G748" s="60"/>
      <c r="H748" s="60"/>
    </row>
    <row r="749">
      <c r="A749" s="12"/>
      <c r="B749" s="60"/>
      <c r="C749" s="60"/>
      <c r="D749" s="60"/>
      <c r="E749" s="60"/>
      <c r="F749" s="60"/>
      <c r="G749" s="60"/>
      <c r="H749" s="60"/>
    </row>
    <row r="750">
      <c r="A750" s="12"/>
      <c r="B750" s="60"/>
      <c r="C750" s="60"/>
      <c r="D750" s="60"/>
      <c r="E750" s="60"/>
      <c r="F750" s="60"/>
      <c r="G750" s="60"/>
      <c r="H750" s="60"/>
    </row>
    <row r="751">
      <c r="A751" s="12"/>
      <c r="B751" s="60"/>
      <c r="C751" s="60"/>
      <c r="D751" s="60"/>
      <c r="E751" s="60"/>
      <c r="F751" s="60"/>
      <c r="G751" s="60"/>
      <c r="H751" s="60"/>
    </row>
    <row r="752">
      <c r="A752" s="12"/>
      <c r="B752" s="60"/>
      <c r="C752" s="60"/>
      <c r="D752" s="60"/>
      <c r="E752" s="60"/>
      <c r="F752" s="60"/>
      <c r="G752" s="60"/>
      <c r="H752" s="60"/>
    </row>
    <row r="753">
      <c r="A753" s="12"/>
      <c r="B753" s="60"/>
      <c r="C753" s="60"/>
      <c r="D753" s="60"/>
      <c r="E753" s="60"/>
      <c r="F753" s="60"/>
      <c r="G753" s="60"/>
      <c r="H753" s="60"/>
    </row>
    <row r="754">
      <c r="A754" s="12"/>
      <c r="B754" s="60"/>
      <c r="C754" s="60"/>
      <c r="D754" s="60"/>
      <c r="E754" s="60"/>
      <c r="F754" s="60"/>
      <c r="G754" s="60"/>
      <c r="H754" s="60"/>
    </row>
    <row r="755">
      <c r="A755" s="12"/>
      <c r="B755" s="60"/>
      <c r="C755" s="60"/>
      <c r="D755" s="60"/>
      <c r="E755" s="60"/>
      <c r="F755" s="60"/>
      <c r="G755" s="60"/>
      <c r="H755" s="60"/>
    </row>
    <row r="756">
      <c r="A756" s="12"/>
      <c r="B756" s="60"/>
      <c r="C756" s="60"/>
      <c r="D756" s="60"/>
      <c r="E756" s="60"/>
      <c r="F756" s="60"/>
      <c r="G756" s="60"/>
      <c r="H756" s="60"/>
    </row>
    <row r="757">
      <c r="A757" s="12"/>
      <c r="B757" s="60"/>
      <c r="C757" s="60"/>
      <c r="D757" s="60"/>
      <c r="E757" s="60"/>
      <c r="F757" s="60"/>
      <c r="G757" s="60"/>
      <c r="H757" s="60"/>
    </row>
    <row r="758">
      <c r="A758" s="12"/>
      <c r="B758" s="60"/>
      <c r="C758" s="60"/>
      <c r="D758" s="60"/>
      <c r="E758" s="60"/>
      <c r="F758" s="60"/>
      <c r="G758" s="60"/>
      <c r="H758" s="60"/>
    </row>
    <row r="759">
      <c r="A759" s="12"/>
      <c r="B759" s="60"/>
      <c r="C759" s="60"/>
      <c r="D759" s="60"/>
      <c r="E759" s="60"/>
      <c r="F759" s="60"/>
      <c r="G759" s="60"/>
      <c r="H759" s="60"/>
    </row>
    <row r="760">
      <c r="A760" s="12"/>
      <c r="B760" s="60"/>
      <c r="C760" s="60"/>
      <c r="D760" s="60"/>
      <c r="E760" s="60"/>
      <c r="F760" s="60"/>
      <c r="G760" s="60"/>
      <c r="H760" s="60"/>
    </row>
    <row r="761">
      <c r="A761" s="12"/>
      <c r="B761" s="60"/>
      <c r="C761" s="60"/>
      <c r="D761" s="60"/>
      <c r="E761" s="60"/>
      <c r="F761" s="60"/>
      <c r="G761" s="60"/>
      <c r="H761" s="60"/>
    </row>
    <row r="762">
      <c r="A762" s="12"/>
      <c r="B762" s="60"/>
      <c r="C762" s="60"/>
      <c r="D762" s="60"/>
      <c r="E762" s="60"/>
      <c r="F762" s="60"/>
      <c r="G762" s="60"/>
      <c r="H762" s="60"/>
    </row>
    <row r="763">
      <c r="A763" s="12"/>
      <c r="B763" s="60"/>
      <c r="C763" s="60"/>
      <c r="D763" s="60"/>
      <c r="E763" s="60"/>
      <c r="F763" s="60"/>
      <c r="G763" s="60"/>
      <c r="H763" s="60"/>
    </row>
    <row r="764">
      <c r="A764" s="12"/>
      <c r="B764" s="60"/>
      <c r="C764" s="60"/>
      <c r="D764" s="60"/>
      <c r="E764" s="60"/>
      <c r="F764" s="60"/>
      <c r="G764" s="60"/>
      <c r="H764" s="60"/>
    </row>
    <row r="765">
      <c r="A765" s="12"/>
      <c r="B765" s="60"/>
      <c r="C765" s="60"/>
      <c r="D765" s="60"/>
      <c r="E765" s="60"/>
      <c r="F765" s="60"/>
      <c r="G765" s="60"/>
      <c r="H765" s="60"/>
    </row>
    <row r="766">
      <c r="A766" s="12"/>
      <c r="B766" s="60"/>
      <c r="C766" s="60"/>
      <c r="D766" s="60"/>
      <c r="E766" s="60"/>
      <c r="F766" s="60"/>
      <c r="G766" s="60"/>
      <c r="H766" s="60"/>
    </row>
    <row r="767">
      <c r="A767" s="12"/>
      <c r="B767" s="60"/>
      <c r="C767" s="60"/>
      <c r="D767" s="60"/>
      <c r="E767" s="60"/>
      <c r="F767" s="60"/>
      <c r="G767" s="60"/>
      <c r="H767" s="60"/>
    </row>
    <row r="768">
      <c r="A768" s="12"/>
      <c r="B768" s="60"/>
      <c r="C768" s="60"/>
      <c r="D768" s="60"/>
      <c r="E768" s="60"/>
      <c r="F768" s="60"/>
      <c r="G768" s="60"/>
      <c r="H768" s="60"/>
    </row>
    <row r="769">
      <c r="A769" s="12"/>
      <c r="B769" s="60"/>
      <c r="C769" s="60"/>
      <c r="D769" s="60"/>
      <c r="E769" s="60"/>
      <c r="F769" s="60"/>
      <c r="G769" s="60"/>
      <c r="H769" s="60"/>
    </row>
    <row r="770">
      <c r="A770" s="12"/>
      <c r="B770" s="60"/>
      <c r="C770" s="60"/>
      <c r="D770" s="60"/>
      <c r="E770" s="60"/>
      <c r="F770" s="60"/>
      <c r="G770" s="60"/>
      <c r="H770" s="60"/>
    </row>
    <row r="771">
      <c r="A771" s="12"/>
      <c r="B771" s="60"/>
      <c r="C771" s="60"/>
      <c r="D771" s="60"/>
      <c r="E771" s="60"/>
      <c r="F771" s="60"/>
      <c r="G771" s="60"/>
      <c r="H771" s="60"/>
    </row>
    <row r="772">
      <c r="A772" s="12"/>
      <c r="B772" s="60"/>
      <c r="C772" s="60"/>
      <c r="D772" s="60"/>
      <c r="E772" s="60"/>
      <c r="F772" s="60"/>
      <c r="G772" s="60"/>
      <c r="H772" s="60"/>
    </row>
    <row r="773">
      <c r="A773" s="12"/>
      <c r="B773" s="60"/>
      <c r="C773" s="60"/>
      <c r="D773" s="60"/>
      <c r="E773" s="60"/>
      <c r="F773" s="60"/>
      <c r="G773" s="60"/>
      <c r="H773" s="60"/>
    </row>
    <row r="774">
      <c r="A774" s="12"/>
      <c r="B774" s="60"/>
      <c r="C774" s="60"/>
      <c r="D774" s="60"/>
      <c r="E774" s="60"/>
      <c r="F774" s="60"/>
      <c r="G774" s="60"/>
      <c r="H774" s="60"/>
    </row>
    <row r="775">
      <c r="A775" s="12"/>
      <c r="B775" s="60"/>
      <c r="C775" s="60"/>
      <c r="D775" s="60"/>
      <c r="E775" s="60"/>
      <c r="F775" s="60"/>
      <c r="G775" s="60"/>
      <c r="H775" s="60"/>
    </row>
    <row r="776">
      <c r="A776" s="12"/>
      <c r="B776" s="60"/>
      <c r="C776" s="60"/>
      <c r="D776" s="60"/>
      <c r="E776" s="60"/>
      <c r="F776" s="60"/>
      <c r="G776" s="60"/>
      <c r="H776" s="60"/>
    </row>
    <row r="777">
      <c r="A777" s="12"/>
      <c r="B777" s="60"/>
      <c r="C777" s="60"/>
      <c r="D777" s="60"/>
      <c r="E777" s="60"/>
      <c r="F777" s="60"/>
      <c r="G777" s="60"/>
      <c r="H777" s="60"/>
    </row>
    <row r="778">
      <c r="A778" s="12"/>
      <c r="B778" s="60"/>
      <c r="C778" s="60"/>
      <c r="D778" s="60"/>
      <c r="E778" s="60"/>
      <c r="F778" s="60"/>
      <c r="G778" s="60"/>
      <c r="H778" s="60"/>
    </row>
    <row r="779">
      <c r="A779" s="12"/>
      <c r="B779" s="60"/>
      <c r="C779" s="60"/>
      <c r="D779" s="60"/>
      <c r="E779" s="60"/>
      <c r="F779" s="60"/>
      <c r="G779" s="60"/>
      <c r="H779" s="60"/>
    </row>
    <row r="780">
      <c r="A780" s="12"/>
      <c r="B780" s="60"/>
      <c r="C780" s="60"/>
      <c r="D780" s="60"/>
      <c r="E780" s="60"/>
      <c r="F780" s="60"/>
      <c r="G780" s="60"/>
      <c r="H780" s="60"/>
    </row>
    <row r="781">
      <c r="A781" s="12"/>
      <c r="B781" s="60"/>
      <c r="C781" s="60"/>
      <c r="D781" s="60"/>
      <c r="E781" s="60"/>
      <c r="F781" s="60"/>
      <c r="G781" s="60"/>
      <c r="H781" s="60"/>
    </row>
    <row r="782">
      <c r="A782" s="12"/>
      <c r="B782" s="60"/>
      <c r="C782" s="60"/>
      <c r="D782" s="60"/>
      <c r="E782" s="60"/>
      <c r="F782" s="60"/>
      <c r="G782" s="60"/>
      <c r="H782" s="60"/>
    </row>
    <row r="783">
      <c r="A783" s="12"/>
      <c r="B783" s="60"/>
      <c r="C783" s="60"/>
      <c r="D783" s="60"/>
      <c r="E783" s="60"/>
      <c r="F783" s="60"/>
      <c r="G783" s="60"/>
      <c r="H783" s="60"/>
    </row>
    <row r="784">
      <c r="A784" s="12"/>
      <c r="B784" s="60"/>
      <c r="C784" s="60"/>
      <c r="D784" s="60"/>
      <c r="E784" s="60"/>
      <c r="F784" s="60"/>
      <c r="G784" s="60"/>
      <c r="H784" s="60"/>
    </row>
    <row r="785">
      <c r="A785" s="12"/>
      <c r="B785" s="60"/>
      <c r="C785" s="60"/>
      <c r="D785" s="60"/>
      <c r="E785" s="60"/>
      <c r="F785" s="60"/>
      <c r="G785" s="60"/>
      <c r="H785" s="60"/>
    </row>
    <row r="786">
      <c r="A786" s="12"/>
      <c r="B786" s="60"/>
      <c r="C786" s="60"/>
      <c r="D786" s="60"/>
      <c r="E786" s="60"/>
      <c r="F786" s="60"/>
      <c r="G786" s="60"/>
      <c r="H786" s="60"/>
    </row>
    <row r="787">
      <c r="A787" s="12"/>
      <c r="B787" s="60"/>
      <c r="C787" s="60"/>
      <c r="D787" s="60"/>
      <c r="E787" s="60"/>
      <c r="F787" s="60"/>
      <c r="G787" s="60"/>
      <c r="H787" s="60"/>
    </row>
    <row r="788">
      <c r="A788" s="12"/>
      <c r="B788" s="60"/>
      <c r="C788" s="60"/>
      <c r="D788" s="60"/>
      <c r="E788" s="60"/>
      <c r="F788" s="60"/>
      <c r="G788" s="60"/>
      <c r="H788" s="60"/>
    </row>
    <row r="789">
      <c r="A789" s="12"/>
      <c r="B789" s="60"/>
      <c r="C789" s="60"/>
      <c r="D789" s="60"/>
      <c r="E789" s="60"/>
      <c r="F789" s="60"/>
      <c r="G789" s="60"/>
      <c r="H789" s="60"/>
    </row>
    <row r="790">
      <c r="A790" s="12"/>
      <c r="B790" s="60"/>
      <c r="C790" s="60"/>
      <c r="D790" s="60"/>
      <c r="E790" s="60"/>
      <c r="F790" s="60"/>
      <c r="G790" s="60"/>
      <c r="H790" s="60"/>
    </row>
    <row r="791">
      <c r="A791" s="12"/>
      <c r="B791" s="60"/>
      <c r="C791" s="60"/>
      <c r="D791" s="60"/>
      <c r="E791" s="60"/>
      <c r="F791" s="60"/>
      <c r="G791" s="60"/>
      <c r="H791" s="60"/>
    </row>
    <row r="792">
      <c r="A792" s="12"/>
      <c r="B792" s="60"/>
      <c r="C792" s="60"/>
      <c r="D792" s="60"/>
      <c r="E792" s="60"/>
      <c r="F792" s="60"/>
      <c r="G792" s="60"/>
      <c r="H792" s="60"/>
    </row>
    <row r="793">
      <c r="A793" s="12"/>
      <c r="B793" s="60"/>
      <c r="C793" s="60"/>
      <c r="D793" s="60"/>
      <c r="E793" s="60"/>
      <c r="F793" s="60"/>
      <c r="G793" s="60"/>
      <c r="H793" s="60"/>
    </row>
    <row r="794">
      <c r="A794" s="12"/>
      <c r="B794" s="60"/>
      <c r="C794" s="60"/>
      <c r="D794" s="60"/>
      <c r="E794" s="60"/>
      <c r="F794" s="60"/>
      <c r="G794" s="60"/>
      <c r="H794" s="60"/>
    </row>
    <row r="795">
      <c r="A795" s="12"/>
      <c r="B795" s="60"/>
      <c r="C795" s="60"/>
      <c r="D795" s="60"/>
      <c r="E795" s="60"/>
      <c r="F795" s="60"/>
      <c r="G795" s="60"/>
      <c r="H795" s="60"/>
    </row>
    <row r="796">
      <c r="A796" s="12"/>
      <c r="B796" s="60"/>
      <c r="C796" s="60"/>
      <c r="D796" s="60"/>
      <c r="E796" s="60"/>
      <c r="F796" s="60"/>
      <c r="G796" s="60"/>
      <c r="H796" s="60"/>
    </row>
    <row r="797">
      <c r="A797" s="12"/>
      <c r="B797" s="60"/>
      <c r="C797" s="60"/>
      <c r="D797" s="60"/>
      <c r="E797" s="60"/>
      <c r="F797" s="60"/>
      <c r="G797" s="60"/>
      <c r="H797" s="60"/>
    </row>
    <row r="798">
      <c r="A798" s="12"/>
      <c r="B798" s="60"/>
      <c r="C798" s="60"/>
      <c r="D798" s="60"/>
      <c r="E798" s="60"/>
      <c r="F798" s="60"/>
      <c r="G798" s="60"/>
      <c r="H798" s="60"/>
    </row>
    <row r="799">
      <c r="A799" s="12"/>
      <c r="B799" s="60"/>
      <c r="C799" s="60"/>
      <c r="D799" s="60"/>
      <c r="E799" s="60"/>
      <c r="F799" s="60"/>
      <c r="G799" s="60"/>
      <c r="H799" s="60"/>
    </row>
    <row r="800">
      <c r="A800" s="12"/>
      <c r="B800" s="60"/>
      <c r="C800" s="60"/>
      <c r="D800" s="60"/>
      <c r="E800" s="60"/>
      <c r="F800" s="60"/>
      <c r="G800" s="60"/>
      <c r="H800" s="60"/>
    </row>
    <row r="801">
      <c r="A801" s="12"/>
      <c r="B801" s="60"/>
      <c r="C801" s="60"/>
      <c r="D801" s="60"/>
      <c r="E801" s="60"/>
      <c r="F801" s="60"/>
      <c r="G801" s="60"/>
      <c r="H801" s="60"/>
    </row>
    <row r="802">
      <c r="A802" s="12"/>
      <c r="B802" s="60"/>
      <c r="C802" s="60"/>
      <c r="D802" s="60"/>
      <c r="E802" s="60"/>
      <c r="F802" s="60"/>
      <c r="G802" s="60"/>
      <c r="H802" s="60"/>
    </row>
    <row r="803">
      <c r="A803" s="12"/>
      <c r="B803" s="60"/>
      <c r="C803" s="60"/>
      <c r="D803" s="60"/>
      <c r="E803" s="60"/>
      <c r="F803" s="60"/>
      <c r="G803" s="60"/>
      <c r="H803" s="60"/>
    </row>
    <row r="804">
      <c r="A804" s="12"/>
      <c r="B804" s="60"/>
      <c r="C804" s="60"/>
      <c r="D804" s="60"/>
      <c r="E804" s="60"/>
      <c r="F804" s="60"/>
      <c r="G804" s="60"/>
      <c r="H804" s="60"/>
    </row>
    <row r="805">
      <c r="A805" s="12"/>
      <c r="B805" s="60"/>
      <c r="C805" s="60"/>
      <c r="D805" s="60"/>
      <c r="E805" s="60"/>
      <c r="F805" s="60"/>
      <c r="G805" s="60"/>
      <c r="H805" s="60"/>
    </row>
    <row r="806">
      <c r="A806" s="12"/>
      <c r="B806" s="60"/>
      <c r="C806" s="60"/>
      <c r="D806" s="60"/>
      <c r="E806" s="60"/>
      <c r="F806" s="60"/>
      <c r="G806" s="60"/>
      <c r="H806" s="60"/>
    </row>
    <row r="807">
      <c r="A807" s="12"/>
      <c r="B807" s="60"/>
      <c r="C807" s="60"/>
      <c r="D807" s="60"/>
      <c r="E807" s="60"/>
      <c r="F807" s="60"/>
      <c r="G807" s="60"/>
      <c r="H807" s="60"/>
    </row>
    <row r="808">
      <c r="A808" s="12"/>
      <c r="B808" s="60"/>
      <c r="C808" s="60"/>
      <c r="D808" s="60"/>
      <c r="E808" s="60"/>
      <c r="F808" s="60"/>
      <c r="G808" s="60"/>
      <c r="H808" s="60"/>
    </row>
    <row r="809">
      <c r="A809" s="12"/>
      <c r="B809" s="60"/>
      <c r="C809" s="60"/>
      <c r="D809" s="60"/>
      <c r="E809" s="60"/>
      <c r="F809" s="60"/>
      <c r="G809" s="60"/>
      <c r="H809" s="60"/>
    </row>
    <row r="810">
      <c r="A810" s="12"/>
      <c r="B810" s="60"/>
      <c r="C810" s="60"/>
      <c r="D810" s="60"/>
      <c r="E810" s="60"/>
      <c r="F810" s="60"/>
      <c r="G810" s="60"/>
      <c r="H810" s="60"/>
    </row>
    <row r="811">
      <c r="A811" s="12"/>
      <c r="B811" s="60"/>
      <c r="C811" s="60"/>
      <c r="D811" s="60"/>
      <c r="E811" s="60"/>
      <c r="F811" s="60"/>
      <c r="G811" s="60"/>
      <c r="H811" s="60"/>
    </row>
    <row r="812">
      <c r="A812" s="12"/>
      <c r="B812" s="60"/>
      <c r="C812" s="60"/>
      <c r="D812" s="60"/>
      <c r="E812" s="60"/>
      <c r="F812" s="60"/>
      <c r="G812" s="60"/>
      <c r="H812" s="60"/>
    </row>
    <row r="813">
      <c r="A813" s="12"/>
      <c r="B813" s="60"/>
      <c r="C813" s="60"/>
      <c r="D813" s="60"/>
      <c r="E813" s="60"/>
      <c r="F813" s="60"/>
      <c r="G813" s="60"/>
      <c r="H813" s="60"/>
    </row>
    <row r="814">
      <c r="A814" s="12"/>
      <c r="B814" s="60"/>
      <c r="C814" s="60"/>
      <c r="D814" s="60"/>
      <c r="E814" s="60"/>
      <c r="F814" s="60"/>
      <c r="G814" s="60"/>
      <c r="H814" s="60"/>
    </row>
    <row r="815">
      <c r="A815" s="12"/>
      <c r="B815" s="60"/>
      <c r="C815" s="60"/>
      <c r="D815" s="60"/>
      <c r="E815" s="60"/>
      <c r="F815" s="60"/>
      <c r="G815" s="60"/>
      <c r="H815" s="60"/>
    </row>
    <row r="816">
      <c r="A816" s="12"/>
      <c r="B816" s="60"/>
      <c r="C816" s="60"/>
      <c r="D816" s="60"/>
      <c r="E816" s="60"/>
      <c r="F816" s="60"/>
      <c r="G816" s="60"/>
      <c r="H816" s="60"/>
    </row>
    <row r="817">
      <c r="A817" s="12"/>
      <c r="B817" s="60"/>
      <c r="C817" s="60"/>
      <c r="D817" s="60"/>
      <c r="E817" s="60"/>
      <c r="F817" s="60"/>
      <c r="G817" s="60"/>
      <c r="H817" s="60"/>
    </row>
    <row r="818">
      <c r="A818" s="12"/>
      <c r="B818" s="60"/>
      <c r="C818" s="60"/>
      <c r="D818" s="60"/>
      <c r="E818" s="60"/>
      <c r="F818" s="60"/>
      <c r="G818" s="60"/>
      <c r="H818" s="60"/>
    </row>
    <row r="819">
      <c r="A819" s="12"/>
      <c r="B819" s="60"/>
      <c r="C819" s="60"/>
      <c r="D819" s="60"/>
      <c r="E819" s="60"/>
      <c r="F819" s="60"/>
      <c r="G819" s="60"/>
      <c r="H819" s="60"/>
    </row>
    <row r="820">
      <c r="A820" s="12"/>
      <c r="B820" s="60"/>
      <c r="C820" s="60"/>
      <c r="D820" s="60"/>
      <c r="E820" s="60"/>
      <c r="F820" s="60"/>
      <c r="G820" s="60"/>
      <c r="H820" s="60"/>
    </row>
    <row r="821">
      <c r="A821" s="12"/>
      <c r="B821" s="60"/>
      <c r="C821" s="60"/>
      <c r="D821" s="60"/>
      <c r="E821" s="60"/>
      <c r="F821" s="60"/>
      <c r="G821" s="60"/>
      <c r="H821" s="60"/>
    </row>
    <row r="822">
      <c r="A822" s="12"/>
      <c r="B822" s="60"/>
      <c r="C822" s="60"/>
      <c r="D822" s="60"/>
      <c r="E822" s="60"/>
      <c r="F822" s="60"/>
      <c r="G822" s="60"/>
      <c r="H822" s="60"/>
    </row>
    <row r="823">
      <c r="A823" s="12"/>
      <c r="B823" s="60"/>
      <c r="C823" s="60"/>
      <c r="D823" s="60"/>
      <c r="E823" s="60"/>
      <c r="F823" s="60"/>
      <c r="G823" s="60"/>
      <c r="H823" s="60"/>
    </row>
    <row r="824">
      <c r="A824" s="12"/>
      <c r="B824" s="60"/>
      <c r="C824" s="60"/>
      <c r="D824" s="60"/>
      <c r="E824" s="60"/>
      <c r="F824" s="60"/>
      <c r="G824" s="60"/>
      <c r="H824" s="60"/>
    </row>
    <row r="825">
      <c r="A825" s="12"/>
      <c r="B825" s="60"/>
      <c r="C825" s="60"/>
      <c r="D825" s="60"/>
      <c r="E825" s="60"/>
      <c r="F825" s="60"/>
      <c r="G825" s="60"/>
      <c r="H825" s="60"/>
    </row>
    <row r="826">
      <c r="A826" s="12"/>
      <c r="B826" s="60"/>
      <c r="C826" s="60"/>
      <c r="D826" s="60"/>
      <c r="E826" s="60"/>
      <c r="F826" s="60"/>
      <c r="G826" s="60"/>
      <c r="H826" s="60"/>
    </row>
    <row r="827">
      <c r="A827" s="12"/>
      <c r="B827" s="60"/>
      <c r="C827" s="60"/>
      <c r="D827" s="60"/>
      <c r="E827" s="60"/>
      <c r="F827" s="60"/>
      <c r="G827" s="60"/>
      <c r="H827" s="60"/>
    </row>
    <row r="828">
      <c r="A828" s="12"/>
      <c r="B828" s="60"/>
      <c r="C828" s="60"/>
      <c r="D828" s="60"/>
      <c r="E828" s="60"/>
      <c r="F828" s="60"/>
      <c r="G828" s="60"/>
      <c r="H828" s="60"/>
    </row>
    <row r="829">
      <c r="A829" s="12"/>
      <c r="B829" s="60"/>
      <c r="C829" s="60"/>
      <c r="D829" s="60"/>
      <c r="E829" s="60"/>
      <c r="F829" s="60"/>
      <c r="G829" s="60"/>
      <c r="H829" s="60"/>
    </row>
    <row r="830">
      <c r="A830" s="12"/>
      <c r="B830" s="60"/>
      <c r="C830" s="60"/>
      <c r="D830" s="60"/>
      <c r="E830" s="60"/>
      <c r="F830" s="60"/>
      <c r="G830" s="60"/>
      <c r="H830" s="60"/>
    </row>
    <row r="831">
      <c r="A831" s="12"/>
      <c r="B831" s="60"/>
      <c r="C831" s="60"/>
      <c r="D831" s="60"/>
      <c r="E831" s="60"/>
      <c r="F831" s="60"/>
      <c r="G831" s="60"/>
      <c r="H831" s="60"/>
    </row>
    <row r="832">
      <c r="A832" s="12"/>
      <c r="B832" s="60"/>
      <c r="C832" s="60"/>
      <c r="D832" s="60"/>
      <c r="E832" s="60"/>
      <c r="F832" s="60"/>
      <c r="G832" s="60"/>
      <c r="H832" s="60"/>
    </row>
    <row r="833">
      <c r="A833" s="12"/>
      <c r="B833" s="60"/>
      <c r="C833" s="60"/>
      <c r="D833" s="60"/>
      <c r="E833" s="60"/>
      <c r="F833" s="60"/>
      <c r="G833" s="60"/>
      <c r="H833" s="60"/>
    </row>
    <row r="834">
      <c r="A834" s="12"/>
      <c r="B834" s="60"/>
      <c r="C834" s="60"/>
      <c r="D834" s="60"/>
      <c r="E834" s="60"/>
      <c r="F834" s="60"/>
      <c r="G834" s="60"/>
      <c r="H834" s="60"/>
    </row>
    <row r="835">
      <c r="A835" s="12"/>
      <c r="B835" s="60"/>
      <c r="C835" s="60"/>
      <c r="D835" s="60"/>
      <c r="E835" s="60"/>
      <c r="F835" s="60"/>
      <c r="G835" s="60"/>
      <c r="H835" s="60"/>
    </row>
    <row r="836">
      <c r="A836" s="12"/>
      <c r="B836" s="60"/>
      <c r="C836" s="60"/>
      <c r="D836" s="60"/>
      <c r="E836" s="60"/>
      <c r="F836" s="60"/>
      <c r="G836" s="60"/>
      <c r="H836" s="60"/>
    </row>
    <row r="837">
      <c r="A837" s="12"/>
      <c r="B837" s="60"/>
      <c r="C837" s="60"/>
      <c r="D837" s="60"/>
      <c r="E837" s="60"/>
      <c r="F837" s="60"/>
      <c r="G837" s="60"/>
      <c r="H837" s="60"/>
    </row>
    <row r="838">
      <c r="A838" s="12"/>
      <c r="B838" s="60"/>
      <c r="C838" s="60"/>
      <c r="D838" s="60"/>
      <c r="E838" s="60"/>
      <c r="F838" s="60"/>
      <c r="G838" s="60"/>
      <c r="H838" s="60"/>
    </row>
    <row r="839">
      <c r="A839" s="12"/>
      <c r="B839" s="60"/>
      <c r="C839" s="60"/>
      <c r="D839" s="60"/>
      <c r="E839" s="60"/>
      <c r="F839" s="60"/>
      <c r="G839" s="60"/>
      <c r="H839" s="60"/>
    </row>
    <row r="840">
      <c r="A840" s="12"/>
      <c r="B840" s="60"/>
      <c r="C840" s="60"/>
      <c r="D840" s="60"/>
      <c r="E840" s="60"/>
      <c r="F840" s="60"/>
      <c r="G840" s="60"/>
      <c r="H840" s="60"/>
    </row>
    <row r="841">
      <c r="A841" s="12"/>
      <c r="B841" s="60"/>
      <c r="C841" s="60"/>
      <c r="D841" s="60"/>
      <c r="E841" s="60"/>
      <c r="F841" s="60"/>
      <c r="G841" s="60"/>
      <c r="H841" s="60"/>
    </row>
    <row r="842">
      <c r="A842" s="12"/>
      <c r="B842" s="60"/>
      <c r="C842" s="60"/>
      <c r="D842" s="60"/>
      <c r="E842" s="60"/>
      <c r="F842" s="60"/>
      <c r="G842" s="60"/>
      <c r="H842" s="60"/>
    </row>
    <row r="843">
      <c r="A843" s="12"/>
      <c r="B843" s="60"/>
      <c r="C843" s="60"/>
      <c r="D843" s="60"/>
      <c r="E843" s="60"/>
      <c r="F843" s="60"/>
      <c r="G843" s="60"/>
      <c r="H843" s="60"/>
    </row>
    <row r="844">
      <c r="A844" s="12"/>
      <c r="B844" s="60"/>
      <c r="C844" s="60"/>
      <c r="D844" s="60"/>
      <c r="E844" s="60"/>
      <c r="F844" s="60"/>
      <c r="G844" s="60"/>
      <c r="H844" s="60"/>
    </row>
    <row r="845">
      <c r="A845" s="12"/>
      <c r="B845" s="60"/>
      <c r="C845" s="60"/>
      <c r="D845" s="60"/>
      <c r="E845" s="60"/>
      <c r="F845" s="60"/>
      <c r="G845" s="60"/>
      <c r="H845" s="60"/>
    </row>
    <row r="846">
      <c r="A846" s="12"/>
      <c r="B846" s="60"/>
      <c r="C846" s="60"/>
      <c r="D846" s="60"/>
      <c r="E846" s="60"/>
      <c r="F846" s="60"/>
      <c r="G846" s="60"/>
      <c r="H846" s="60"/>
    </row>
    <row r="847">
      <c r="A847" s="12"/>
      <c r="B847" s="60"/>
      <c r="C847" s="60"/>
      <c r="D847" s="60"/>
      <c r="E847" s="60"/>
      <c r="F847" s="60"/>
      <c r="G847" s="60"/>
      <c r="H847" s="60"/>
    </row>
    <row r="848">
      <c r="A848" s="12"/>
      <c r="B848" s="60"/>
      <c r="C848" s="60"/>
      <c r="D848" s="60"/>
      <c r="E848" s="60"/>
      <c r="F848" s="60"/>
      <c r="G848" s="60"/>
      <c r="H848" s="60"/>
    </row>
    <row r="849">
      <c r="A849" s="12"/>
      <c r="B849" s="60"/>
      <c r="C849" s="60"/>
      <c r="D849" s="60"/>
      <c r="E849" s="60"/>
      <c r="F849" s="60"/>
      <c r="G849" s="60"/>
      <c r="H849" s="60"/>
    </row>
    <row r="850">
      <c r="A850" s="12"/>
      <c r="B850" s="60"/>
      <c r="C850" s="60"/>
      <c r="D850" s="60"/>
      <c r="E850" s="60"/>
      <c r="F850" s="60"/>
      <c r="G850" s="60"/>
      <c r="H850" s="60"/>
    </row>
    <row r="851">
      <c r="A851" s="12"/>
      <c r="B851" s="60"/>
      <c r="C851" s="60"/>
      <c r="D851" s="60"/>
      <c r="E851" s="60"/>
      <c r="F851" s="60"/>
      <c r="G851" s="60"/>
      <c r="H851" s="60"/>
    </row>
    <row r="852">
      <c r="A852" s="12"/>
      <c r="B852" s="60"/>
      <c r="C852" s="60"/>
      <c r="D852" s="60"/>
      <c r="E852" s="60"/>
      <c r="F852" s="60"/>
      <c r="G852" s="60"/>
      <c r="H852" s="60"/>
    </row>
    <row r="853">
      <c r="A853" s="12"/>
      <c r="B853" s="60"/>
      <c r="C853" s="60"/>
      <c r="D853" s="60"/>
      <c r="E853" s="60"/>
      <c r="F853" s="60"/>
      <c r="G853" s="60"/>
      <c r="H853" s="60"/>
    </row>
    <row r="854">
      <c r="A854" s="12"/>
      <c r="B854" s="60"/>
      <c r="C854" s="60"/>
      <c r="D854" s="60"/>
      <c r="E854" s="60"/>
      <c r="F854" s="60"/>
      <c r="G854" s="60"/>
      <c r="H854" s="60"/>
    </row>
    <row r="855">
      <c r="A855" s="12"/>
      <c r="B855" s="60"/>
      <c r="C855" s="60"/>
      <c r="D855" s="60"/>
      <c r="E855" s="60"/>
      <c r="F855" s="60"/>
      <c r="G855" s="60"/>
      <c r="H855" s="60"/>
    </row>
    <row r="856">
      <c r="A856" s="12"/>
      <c r="B856" s="60"/>
      <c r="C856" s="60"/>
      <c r="D856" s="60"/>
      <c r="E856" s="60"/>
      <c r="F856" s="60"/>
      <c r="G856" s="60"/>
      <c r="H856" s="60"/>
    </row>
    <row r="857">
      <c r="A857" s="12"/>
      <c r="B857" s="60"/>
      <c r="C857" s="60"/>
      <c r="D857" s="60"/>
      <c r="E857" s="60"/>
      <c r="F857" s="60"/>
      <c r="G857" s="60"/>
      <c r="H857" s="60"/>
    </row>
    <row r="858">
      <c r="A858" s="12"/>
      <c r="B858" s="60"/>
      <c r="C858" s="60"/>
      <c r="D858" s="60"/>
      <c r="E858" s="60"/>
      <c r="F858" s="60"/>
      <c r="G858" s="60"/>
      <c r="H858" s="60"/>
    </row>
    <row r="859">
      <c r="A859" s="12"/>
      <c r="B859" s="60"/>
      <c r="C859" s="60"/>
      <c r="D859" s="60"/>
      <c r="E859" s="60"/>
      <c r="F859" s="60"/>
      <c r="G859" s="60"/>
      <c r="H859" s="60"/>
    </row>
    <row r="860">
      <c r="A860" s="12"/>
      <c r="B860" s="60"/>
      <c r="C860" s="60"/>
      <c r="D860" s="60"/>
      <c r="E860" s="60"/>
      <c r="F860" s="60"/>
      <c r="G860" s="60"/>
      <c r="H860" s="60"/>
    </row>
    <row r="861">
      <c r="A861" s="12"/>
      <c r="B861" s="60"/>
      <c r="C861" s="60"/>
      <c r="D861" s="60"/>
      <c r="E861" s="60"/>
      <c r="F861" s="60"/>
      <c r="G861" s="60"/>
      <c r="H861" s="60"/>
    </row>
    <row r="862">
      <c r="A862" s="12"/>
      <c r="B862" s="60"/>
      <c r="C862" s="60"/>
      <c r="D862" s="60"/>
      <c r="E862" s="60"/>
      <c r="F862" s="60"/>
      <c r="G862" s="60"/>
      <c r="H862" s="60"/>
    </row>
    <row r="863">
      <c r="A863" s="12"/>
      <c r="B863" s="60"/>
      <c r="C863" s="60"/>
      <c r="D863" s="60"/>
      <c r="E863" s="60"/>
      <c r="F863" s="60"/>
      <c r="G863" s="60"/>
      <c r="H863" s="60"/>
    </row>
    <row r="864">
      <c r="A864" s="12"/>
      <c r="B864" s="60"/>
      <c r="C864" s="60"/>
      <c r="D864" s="60"/>
      <c r="E864" s="60"/>
      <c r="F864" s="60"/>
      <c r="G864" s="60"/>
      <c r="H864" s="60"/>
    </row>
    <row r="865">
      <c r="A865" s="12"/>
      <c r="B865" s="60"/>
      <c r="C865" s="60"/>
      <c r="D865" s="60"/>
      <c r="E865" s="60"/>
      <c r="F865" s="60"/>
      <c r="G865" s="60"/>
      <c r="H865" s="60"/>
    </row>
    <row r="866">
      <c r="A866" s="12"/>
      <c r="B866" s="60"/>
      <c r="C866" s="60"/>
      <c r="D866" s="60"/>
      <c r="E866" s="60"/>
      <c r="F866" s="60"/>
      <c r="G866" s="60"/>
      <c r="H866" s="60"/>
    </row>
    <row r="867">
      <c r="A867" s="12"/>
      <c r="B867" s="60"/>
      <c r="C867" s="60"/>
      <c r="D867" s="60"/>
      <c r="E867" s="60"/>
      <c r="F867" s="60"/>
      <c r="G867" s="60"/>
      <c r="H867" s="60"/>
    </row>
    <row r="868">
      <c r="A868" s="12"/>
      <c r="B868" s="60"/>
      <c r="C868" s="60"/>
      <c r="D868" s="60"/>
      <c r="E868" s="60"/>
      <c r="F868" s="60"/>
      <c r="G868" s="60"/>
      <c r="H868" s="60"/>
    </row>
    <row r="869">
      <c r="A869" s="12"/>
      <c r="B869" s="60"/>
      <c r="C869" s="60"/>
      <c r="D869" s="60"/>
      <c r="E869" s="60"/>
      <c r="F869" s="60"/>
      <c r="G869" s="60"/>
      <c r="H869" s="60"/>
    </row>
    <row r="870">
      <c r="A870" s="12"/>
      <c r="B870" s="60"/>
      <c r="C870" s="60"/>
      <c r="D870" s="60"/>
      <c r="E870" s="60"/>
      <c r="F870" s="60"/>
      <c r="G870" s="60"/>
      <c r="H870" s="60"/>
    </row>
    <row r="871">
      <c r="A871" s="12"/>
      <c r="B871" s="60"/>
      <c r="C871" s="60"/>
      <c r="D871" s="60"/>
      <c r="E871" s="60"/>
      <c r="F871" s="60"/>
      <c r="G871" s="60"/>
      <c r="H871" s="60"/>
    </row>
    <row r="872">
      <c r="A872" s="12"/>
      <c r="B872" s="60"/>
      <c r="C872" s="60"/>
      <c r="D872" s="60"/>
      <c r="E872" s="60"/>
      <c r="F872" s="60"/>
      <c r="G872" s="60"/>
      <c r="H872" s="60"/>
    </row>
    <row r="873">
      <c r="A873" s="12"/>
      <c r="B873" s="60"/>
      <c r="C873" s="60"/>
      <c r="D873" s="60"/>
      <c r="E873" s="60"/>
      <c r="F873" s="60"/>
      <c r="G873" s="60"/>
      <c r="H873" s="60"/>
    </row>
    <row r="874">
      <c r="A874" s="12"/>
      <c r="B874" s="60"/>
      <c r="C874" s="60"/>
      <c r="D874" s="60"/>
      <c r="E874" s="60"/>
      <c r="F874" s="60"/>
      <c r="G874" s="60"/>
      <c r="H874" s="60"/>
    </row>
    <row r="875">
      <c r="A875" s="12"/>
      <c r="B875" s="60"/>
      <c r="C875" s="60"/>
      <c r="D875" s="60"/>
      <c r="E875" s="60"/>
      <c r="F875" s="60"/>
      <c r="G875" s="60"/>
      <c r="H875" s="60"/>
    </row>
    <row r="876">
      <c r="A876" s="12"/>
      <c r="B876" s="60"/>
      <c r="C876" s="60"/>
      <c r="D876" s="60"/>
      <c r="E876" s="60"/>
      <c r="F876" s="60"/>
      <c r="G876" s="60"/>
      <c r="H876" s="60"/>
    </row>
    <row r="877">
      <c r="A877" s="12"/>
      <c r="B877" s="60"/>
      <c r="C877" s="60"/>
      <c r="D877" s="60"/>
      <c r="E877" s="60"/>
      <c r="F877" s="60"/>
      <c r="G877" s="60"/>
      <c r="H877" s="60"/>
    </row>
    <row r="878">
      <c r="A878" s="12"/>
      <c r="B878" s="60"/>
      <c r="C878" s="60"/>
      <c r="D878" s="60"/>
      <c r="E878" s="60"/>
      <c r="F878" s="60"/>
      <c r="G878" s="60"/>
      <c r="H878" s="60"/>
    </row>
    <row r="879">
      <c r="A879" s="12"/>
      <c r="B879" s="60"/>
      <c r="C879" s="60"/>
      <c r="D879" s="60"/>
      <c r="E879" s="60"/>
      <c r="F879" s="60"/>
      <c r="G879" s="60"/>
      <c r="H879" s="60"/>
    </row>
    <row r="880">
      <c r="A880" s="12"/>
      <c r="B880" s="60"/>
      <c r="C880" s="60"/>
      <c r="D880" s="60"/>
      <c r="E880" s="60"/>
      <c r="F880" s="60"/>
      <c r="G880" s="60"/>
      <c r="H880" s="60"/>
    </row>
    <row r="881">
      <c r="A881" s="12"/>
      <c r="B881" s="60"/>
      <c r="C881" s="60"/>
      <c r="D881" s="60"/>
      <c r="E881" s="60"/>
      <c r="F881" s="60"/>
      <c r="G881" s="60"/>
      <c r="H881" s="60"/>
    </row>
    <row r="882">
      <c r="A882" s="12"/>
      <c r="B882" s="60"/>
      <c r="C882" s="60"/>
      <c r="D882" s="60"/>
      <c r="E882" s="60"/>
      <c r="F882" s="60"/>
      <c r="G882" s="60"/>
      <c r="H882" s="60"/>
    </row>
    <row r="883">
      <c r="A883" s="12"/>
      <c r="B883" s="60"/>
      <c r="C883" s="60"/>
      <c r="D883" s="60"/>
      <c r="E883" s="60"/>
      <c r="F883" s="60"/>
      <c r="G883" s="60"/>
      <c r="H883" s="60"/>
    </row>
    <row r="884">
      <c r="A884" s="12"/>
      <c r="B884" s="60"/>
      <c r="C884" s="60"/>
      <c r="D884" s="60"/>
      <c r="E884" s="60"/>
      <c r="F884" s="60"/>
      <c r="G884" s="60"/>
      <c r="H884" s="60"/>
    </row>
    <row r="885">
      <c r="A885" s="12"/>
      <c r="B885" s="60"/>
      <c r="C885" s="60"/>
      <c r="D885" s="60"/>
      <c r="E885" s="60"/>
      <c r="F885" s="60"/>
      <c r="G885" s="60"/>
      <c r="H885" s="60"/>
    </row>
    <row r="886">
      <c r="A886" s="12"/>
      <c r="B886" s="60"/>
      <c r="C886" s="60"/>
      <c r="D886" s="60"/>
      <c r="E886" s="60"/>
      <c r="F886" s="60"/>
      <c r="G886" s="60"/>
      <c r="H886" s="60"/>
    </row>
    <row r="887">
      <c r="A887" s="12"/>
      <c r="B887" s="60"/>
      <c r="C887" s="60"/>
      <c r="D887" s="60"/>
      <c r="E887" s="60"/>
      <c r="F887" s="60"/>
      <c r="G887" s="60"/>
      <c r="H887" s="60"/>
    </row>
    <row r="888">
      <c r="A888" s="12"/>
      <c r="B888" s="60"/>
      <c r="C888" s="60"/>
      <c r="D888" s="60"/>
      <c r="E888" s="60"/>
      <c r="F888" s="60"/>
      <c r="G888" s="60"/>
      <c r="H888" s="60"/>
    </row>
    <row r="889">
      <c r="A889" s="12"/>
      <c r="B889" s="60"/>
      <c r="C889" s="60"/>
      <c r="D889" s="60"/>
      <c r="E889" s="60"/>
      <c r="F889" s="60"/>
      <c r="G889" s="60"/>
      <c r="H889" s="60"/>
    </row>
    <row r="890">
      <c r="A890" s="12"/>
      <c r="B890" s="60"/>
      <c r="C890" s="60"/>
      <c r="D890" s="60"/>
      <c r="E890" s="60"/>
      <c r="F890" s="60"/>
      <c r="G890" s="60"/>
      <c r="H890" s="60"/>
    </row>
    <row r="891">
      <c r="A891" s="12"/>
      <c r="B891" s="60"/>
      <c r="C891" s="60"/>
      <c r="D891" s="60"/>
      <c r="E891" s="60"/>
      <c r="F891" s="60"/>
      <c r="G891" s="60"/>
      <c r="H891" s="60"/>
    </row>
    <row r="892">
      <c r="A892" s="12"/>
      <c r="B892" s="60"/>
      <c r="C892" s="60"/>
      <c r="D892" s="60"/>
      <c r="E892" s="60"/>
      <c r="F892" s="60"/>
      <c r="G892" s="60"/>
      <c r="H892" s="60"/>
    </row>
    <row r="893">
      <c r="A893" s="12"/>
      <c r="B893" s="60"/>
      <c r="C893" s="60"/>
      <c r="D893" s="60"/>
      <c r="E893" s="60"/>
      <c r="F893" s="60"/>
      <c r="G893" s="60"/>
      <c r="H893" s="60"/>
    </row>
    <row r="894">
      <c r="A894" s="12"/>
      <c r="B894" s="60"/>
      <c r="C894" s="60"/>
      <c r="D894" s="60"/>
      <c r="E894" s="60"/>
      <c r="F894" s="60"/>
      <c r="G894" s="60"/>
      <c r="H894" s="60"/>
    </row>
    <row r="895">
      <c r="A895" s="12"/>
      <c r="B895" s="60"/>
      <c r="C895" s="60"/>
      <c r="D895" s="60"/>
      <c r="E895" s="60"/>
      <c r="F895" s="60"/>
      <c r="G895" s="60"/>
      <c r="H895" s="60"/>
    </row>
    <row r="896">
      <c r="A896" s="12"/>
      <c r="B896" s="60"/>
      <c r="C896" s="60"/>
      <c r="D896" s="60"/>
      <c r="E896" s="60"/>
      <c r="F896" s="60"/>
      <c r="G896" s="60"/>
      <c r="H896" s="60"/>
    </row>
    <row r="897">
      <c r="A897" s="12"/>
      <c r="B897" s="60"/>
      <c r="C897" s="60"/>
      <c r="D897" s="60"/>
      <c r="E897" s="60"/>
      <c r="F897" s="60"/>
      <c r="G897" s="60"/>
      <c r="H897" s="60"/>
    </row>
    <row r="898">
      <c r="A898" s="12"/>
      <c r="B898" s="60"/>
      <c r="C898" s="60"/>
      <c r="D898" s="60"/>
      <c r="E898" s="60"/>
      <c r="F898" s="60"/>
      <c r="G898" s="60"/>
      <c r="H898" s="60"/>
    </row>
    <row r="899">
      <c r="A899" s="12"/>
      <c r="B899" s="60"/>
      <c r="C899" s="60"/>
      <c r="D899" s="60"/>
      <c r="E899" s="60"/>
      <c r="F899" s="60"/>
      <c r="G899" s="60"/>
      <c r="H899" s="60"/>
    </row>
    <row r="900">
      <c r="A900" s="12"/>
      <c r="B900" s="60"/>
      <c r="C900" s="60"/>
      <c r="D900" s="60"/>
      <c r="E900" s="60"/>
      <c r="F900" s="60"/>
      <c r="G900" s="60"/>
      <c r="H900" s="60"/>
    </row>
    <row r="901">
      <c r="A901" s="12"/>
      <c r="B901" s="60"/>
      <c r="C901" s="60"/>
      <c r="D901" s="60"/>
      <c r="E901" s="60"/>
      <c r="F901" s="60"/>
      <c r="G901" s="60"/>
      <c r="H901" s="60"/>
    </row>
    <row r="902">
      <c r="A902" s="12"/>
      <c r="B902" s="60"/>
      <c r="C902" s="60"/>
      <c r="D902" s="60"/>
      <c r="E902" s="60"/>
      <c r="F902" s="60"/>
      <c r="G902" s="60"/>
      <c r="H902" s="60"/>
    </row>
    <row r="903">
      <c r="A903" s="12"/>
      <c r="B903" s="60"/>
      <c r="C903" s="60"/>
      <c r="D903" s="60"/>
      <c r="E903" s="60"/>
      <c r="F903" s="60"/>
      <c r="G903" s="60"/>
      <c r="H903" s="60"/>
    </row>
    <row r="904">
      <c r="A904" s="12"/>
      <c r="B904" s="60"/>
      <c r="C904" s="60"/>
      <c r="D904" s="60"/>
      <c r="E904" s="60"/>
      <c r="F904" s="60"/>
      <c r="G904" s="60"/>
      <c r="H904" s="60"/>
    </row>
    <row r="905">
      <c r="A905" s="12"/>
      <c r="B905" s="60"/>
      <c r="C905" s="60"/>
      <c r="D905" s="60"/>
      <c r="E905" s="60"/>
      <c r="F905" s="60"/>
      <c r="G905" s="60"/>
      <c r="H905" s="60"/>
    </row>
    <row r="906">
      <c r="A906" s="12"/>
      <c r="B906" s="60"/>
      <c r="C906" s="60"/>
      <c r="D906" s="60"/>
      <c r="E906" s="60"/>
      <c r="F906" s="60"/>
      <c r="G906" s="60"/>
      <c r="H906" s="60"/>
    </row>
    <row r="907">
      <c r="A907" s="12"/>
      <c r="B907" s="60"/>
      <c r="C907" s="60"/>
      <c r="D907" s="60"/>
      <c r="E907" s="60"/>
      <c r="F907" s="60"/>
      <c r="G907" s="60"/>
      <c r="H907" s="60"/>
    </row>
    <row r="908">
      <c r="A908" s="12"/>
      <c r="B908" s="60"/>
      <c r="C908" s="60"/>
      <c r="D908" s="60"/>
      <c r="E908" s="60"/>
      <c r="F908" s="60"/>
      <c r="G908" s="60"/>
      <c r="H908" s="60"/>
    </row>
    <row r="909">
      <c r="A909" s="12"/>
      <c r="B909" s="60"/>
      <c r="C909" s="60"/>
      <c r="D909" s="60"/>
      <c r="E909" s="60"/>
      <c r="F909" s="60"/>
      <c r="G909" s="60"/>
      <c r="H909" s="60"/>
    </row>
    <row r="910">
      <c r="A910" s="12"/>
      <c r="B910" s="60"/>
      <c r="C910" s="60"/>
      <c r="D910" s="60"/>
      <c r="E910" s="60"/>
      <c r="F910" s="60"/>
      <c r="G910" s="60"/>
      <c r="H910" s="60"/>
    </row>
    <row r="911">
      <c r="A911" s="12"/>
      <c r="B911" s="60"/>
      <c r="C911" s="60"/>
      <c r="D911" s="60"/>
      <c r="E911" s="60"/>
      <c r="F911" s="60"/>
      <c r="G911" s="60"/>
      <c r="H911" s="60"/>
    </row>
    <row r="912">
      <c r="A912" s="12"/>
      <c r="B912" s="60"/>
      <c r="C912" s="60"/>
      <c r="D912" s="60"/>
      <c r="E912" s="60"/>
      <c r="F912" s="60"/>
      <c r="G912" s="60"/>
      <c r="H912" s="60"/>
    </row>
    <row r="913">
      <c r="A913" s="12"/>
      <c r="B913" s="60"/>
      <c r="C913" s="60"/>
      <c r="D913" s="60"/>
      <c r="E913" s="60"/>
      <c r="F913" s="60"/>
      <c r="G913" s="60"/>
      <c r="H913" s="60"/>
    </row>
    <row r="914">
      <c r="A914" s="12"/>
      <c r="B914" s="60"/>
      <c r="C914" s="60"/>
      <c r="D914" s="60"/>
      <c r="E914" s="60"/>
      <c r="F914" s="60"/>
      <c r="G914" s="60"/>
      <c r="H914" s="60"/>
    </row>
    <row r="915">
      <c r="A915" s="12"/>
      <c r="B915" s="60"/>
      <c r="C915" s="60"/>
      <c r="D915" s="60"/>
      <c r="E915" s="60"/>
      <c r="F915" s="60"/>
      <c r="G915" s="60"/>
      <c r="H915" s="60"/>
    </row>
    <row r="916">
      <c r="A916" s="12"/>
      <c r="B916" s="60"/>
      <c r="C916" s="60"/>
      <c r="D916" s="60"/>
      <c r="E916" s="60"/>
      <c r="F916" s="60"/>
      <c r="G916" s="60"/>
      <c r="H916" s="60"/>
    </row>
    <row r="917">
      <c r="A917" s="12"/>
      <c r="B917" s="60"/>
      <c r="C917" s="60"/>
      <c r="D917" s="60"/>
      <c r="E917" s="60"/>
      <c r="F917" s="60"/>
      <c r="G917" s="60"/>
      <c r="H917" s="60"/>
    </row>
    <row r="918">
      <c r="A918" s="12"/>
      <c r="B918" s="60"/>
      <c r="C918" s="60"/>
      <c r="D918" s="60"/>
      <c r="E918" s="60"/>
      <c r="F918" s="60"/>
      <c r="G918" s="60"/>
      <c r="H918" s="60"/>
    </row>
    <row r="919">
      <c r="A919" s="12"/>
      <c r="B919" s="60"/>
      <c r="C919" s="60"/>
      <c r="D919" s="60"/>
      <c r="E919" s="60"/>
      <c r="F919" s="60"/>
      <c r="G919" s="60"/>
      <c r="H919" s="60"/>
    </row>
    <row r="920">
      <c r="A920" s="12"/>
      <c r="B920" s="60"/>
      <c r="C920" s="60"/>
      <c r="D920" s="60"/>
      <c r="E920" s="60"/>
      <c r="F920" s="60"/>
      <c r="G920" s="60"/>
      <c r="H920" s="60"/>
    </row>
    <row r="921">
      <c r="A921" s="12"/>
      <c r="B921" s="60"/>
      <c r="C921" s="60"/>
      <c r="D921" s="60"/>
      <c r="E921" s="60"/>
      <c r="F921" s="60"/>
      <c r="G921" s="60"/>
      <c r="H921" s="60"/>
    </row>
    <row r="922">
      <c r="A922" s="12"/>
      <c r="B922" s="60"/>
      <c r="C922" s="60"/>
      <c r="D922" s="60"/>
      <c r="E922" s="60"/>
      <c r="F922" s="60"/>
      <c r="G922" s="60"/>
      <c r="H922" s="60"/>
    </row>
    <row r="923">
      <c r="A923" s="12"/>
      <c r="B923" s="60"/>
      <c r="C923" s="60"/>
      <c r="D923" s="60"/>
      <c r="E923" s="60"/>
      <c r="F923" s="60"/>
      <c r="G923" s="60"/>
      <c r="H923" s="60"/>
    </row>
    <row r="924">
      <c r="A924" s="12"/>
      <c r="B924" s="60"/>
      <c r="C924" s="60"/>
      <c r="D924" s="60"/>
      <c r="E924" s="60"/>
      <c r="F924" s="60"/>
      <c r="G924" s="60"/>
      <c r="H924" s="60"/>
    </row>
    <row r="925">
      <c r="A925" s="12"/>
      <c r="B925" s="60"/>
      <c r="C925" s="60"/>
      <c r="D925" s="60"/>
      <c r="E925" s="60"/>
      <c r="F925" s="60"/>
      <c r="G925" s="60"/>
      <c r="H925" s="60"/>
    </row>
    <row r="926">
      <c r="A926" s="12"/>
      <c r="B926" s="60"/>
      <c r="C926" s="60"/>
      <c r="D926" s="60"/>
      <c r="E926" s="60"/>
      <c r="F926" s="60"/>
      <c r="G926" s="60"/>
      <c r="H926" s="60"/>
    </row>
    <row r="927">
      <c r="A927" s="12"/>
      <c r="B927" s="60"/>
      <c r="C927" s="60"/>
      <c r="D927" s="60"/>
      <c r="E927" s="60"/>
      <c r="F927" s="60"/>
      <c r="G927" s="60"/>
      <c r="H927" s="60"/>
    </row>
    <row r="928">
      <c r="A928" s="12"/>
      <c r="B928" s="60"/>
      <c r="C928" s="60"/>
      <c r="D928" s="60"/>
      <c r="E928" s="60"/>
      <c r="F928" s="60"/>
      <c r="G928" s="60"/>
      <c r="H928" s="60"/>
    </row>
    <row r="929">
      <c r="A929" s="12"/>
      <c r="B929" s="60"/>
      <c r="C929" s="60"/>
      <c r="D929" s="60"/>
      <c r="E929" s="60"/>
      <c r="F929" s="60"/>
      <c r="G929" s="60"/>
      <c r="H929" s="60"/>
    </row>
    <row r="930">
      <c r="A930" s="12"/>
      <c r="B930" s="60"/>
      <c r="C930" s="60"/>
      <c r="D930" s="60"/>
      <c r="E930" s="60"/>
      <c r="F930" s="60"/>
      <c r="G930" s="60"/>
      <c r="H930" s="60"/>
    </row>
    <row r="931">
      <c r="A931" s="12"/>
      <c r="B931" s="60"/>
      <c r="C931" s="60"/>
      <c r="D931" s="60"/>
      <c r="E931" s="60"/>
      <c r="F931" s="60"/>
      <c r="G931" s="60"/>
      <c r="H931" s="60"/>
    </row>
    <row r="932">
      <c r="A932" s="12"/>
      <c r="B932" s="60"/>
      <c r="C932" s="60"/>
      <c r="D932" s="60"/>
      <c r="E932" s="60"/>
      <c r="F932" s="60"/>
      <c r="G932" s="60"/>
      <c r="H932" s="60"/>
    </row>
    <row r="933">
      <c r="A933" s="12"/>
      <c r="B933" s="60"/>
      <c r="C933" s="60"/>
      <c r="D933" s="60"/>
      <c r="E933" s="60"/>
      <c r="F933" s="60"/>
      <c r="G933" s="60"/>
      <c r="H933" s="60"/>
    </row>
    <row r="934">
      <c r="A934" s="12"/>
      <c r="B934" s="60"/>
      <c r="C934" s="60"/>
      <c r="D934" s="60"/>
      <c r="E934" s="60"/>
      <c r="F934" s="60"/>
      <c r="G934" s="60"/>
      <c r="H934" s="60"/>
    </row>
    <row r="935">
      <c r="A935" s="12"/>
      <c r="B935" s="60"/>
      <c r="C935" s="60"/>
      <c r="D935" s="60"/>
      <c r="E935" s="60"/>
      <c r="F935" s="60"/>
      <c r="G935" s="60"/>
      <c r="H935" s="60"/>
    </row>
    <row r="936">
      <c r="A936" s="12"/>
      <c r="B936" s="60"/>
      <c r="C936" s="60"/>
      <c r="D936" s="60"/>
      <c r="E936" s="60"/>
      <c r="F936" s="60"/>
      <c r="G936" s="60"/>
      <c r="H936" s="60"/>
    </row>
    <row r="937">
      <c r="A937" s="12"/>
      <c r="B937" s="60"/>
      <c r="C937" s="60"/>
      <c r="D937" s="60"/>
      <c r="E937" s="60"/>
      <c r="F937" s="60"/>
      <c r="G937" s="60"/>
      <c r="H937" s="60"/>
    </row>
    <row r="938">
      <c r="A938" s="12"/>
      <c r="B938" s="60"/>
      <c r="C938" s="60"/>
      <c r="D938" s="60"/>
      <c r="E938" s="60"/>
      <c r="F938" s="60"/>
      <c r="G938" s="60"/>
      <c r="H938" s="60"/>
    </row>
    <row r="939">
      <c r="A939" s="12"/>
      <c r="B939" s="60"/>
      <c r="C939" s="60"/>
      <c r="D939" s="60"/>
      <c r="E939" s="60"/>
      <c r="F939" s="60"/>
      <c r="G939" s="60"/>
      <c r="H939" s="60"/>
    </row>
    <row r="940">
      <c r="A940" s="12"/>
      <c r="B940" s="60"/>
      <c r="C940" s="60"/>
      <c r="D940" s="60"/>
      <c r="E940" s="60"/>
      <c r="F940" s="60"/>
      <c r="G940" s="60"/>
      <c r="H940" s="60"/>
    </row>
    <row r="941">
      <c r="A941" s="12"/>
      <c r="B941" s="60"/>
      <c r="C941" s="60"/>
      <c r="D941" s="60"/>
      <c r="E941" s="60"/>
      <c r="F941" s="60"/>
      <c r="G941" s="60"/>
      <c r="H941" s="60"/>
    </row>
    <row r="942">
      <c r="A942" s="12"/>
      <c r="B942" s="60"/>
      <c r="C942" s="60"/>
      <c r="D942" s="60"/>
      <c r="E942" s="60"/>
      <c r="F942" s="60"/>
      <c r="G942" s="60"/>
      <c r="H942" s="60"/>
    </row>
    <row r="943">
      <c r="A943" s="12"/>
      <c r="B943" s="60"/>
      <c r="C943" s="60"/>
      <c r="D943" s="60"/>
      <c r="E943" s="60"/>
      <c r="F943" s="60"/>
      <c r="G943" s="60"/>
      <c r="H943" s="60"/>
    </row>
    <row r="944">
      <c r="A944" s="12"/>
      <c r="B944" s="60"/>
      <c r="C944" s="60"/>
      <c r="D944" s="60"/>
      <c r="E944" s="60"/>
      <c r="F944" s="60"/>
      <c r="G944" s="60"/>
      <c r="H944" s="60"/>
    </row>
    <row r="945">
      <c r="A945" s="12"/>
      <c r="B945" s="60"/>
      <c r="C945" s="60"/>
      <c r="D945" s="60"/>
      <c r="E945" s="60"/>
      <c r="F945" s="60"/>
      <c r="G945" s="60"/>
      <c r="H945" s="60"/>
    </row>
    <row r="946">
      <c r="A946" s="12"/>
      <c r="B946" s="60"/>
      <c r="C946" s="60"/>
      <c r="D946" s="60"/>
      <c r="E946" s="60"/>
      <c r="F946" s="60"/>
      <c r="G946" s="60"/>
      <c r="H946" s="60"/>
    </row>
    <row r="947">
      <c r="A947" s="12"/>
      <c r="B947" s="60"/>
      <c r="C947" s="60"/>
      <c r="D947" s="60"/>
      <c r="E947" s="60"/>
      <c r="F947" s="60"/>
      <c r="G947" s="60"/>
      <c r="H947" s="60"/>
    </row>
    <row r="948">
      <c r="A948" s="12"/>
      <c r="B948" s="60"/>
      <c r="C948" s="60"/>
      <c r="D948" s="60"/>
      <c r="E948" s="60"/>
      <c r="F948" s="60"/>
      <c r="G948" s="60"/>
      <c r="H948" s="60"/>
    </row>
    <row r="949">
      <c r="A949" s="12"/>
      <c r="B949" s="60"/>
      <c r="C949" s="60"/>
      <c r="D949" s="60"/>
      <c r="E949" s="60"/>
      <c r="F949" s="60"/>
      <c r="G949" s="60"/>
      <c r="H949" s="60"/>
    </row>
    <row r="950">
      <c r="A950" s="12"/>
      <c r="B950" s="60"/>
      <c r="C950" s="60"/>
      <c r="D950" s="60"/>
      <c r="E950" s="60"/>
      <c r="F950" s="60"/>
      <c r="G950" s="60"/>
      <c r="H950" s="60"/>
    </row>
    <row r="951">
      <c r="A951" s="12"/>
      <c r="B951" s="60"/>
      <c r="C951" s="60"/>
      <c r="D951" s="60"/>
      <c r="E951" s="60"/>
      <c r="F951" s="60"/>
      <c r="G951" s="60"/>
      <c r="H951" s="60"/>
    </row>
    <row r="952">
      <c r="A952" s="12"/>
      <c r="B952" s="60"/>
      <c r="C952" s="60"/>
      <c r="D952" s="60"/>
      <c r="E952" s="60"/>
      <c r="F952" s="60"/>
      <c r="G952" s="60"/>
      <c r="H952" s="60"/>
    </row>
    <row r="953">
      <c r="A953" s="12"/>
      <c r="B953" s="60"/>
      <c r="C953" s="60"/>
      <c r="D953" s="60"/>
      <c r="E953" s="60"/>
      <c r="F953" s="60"/>
      <c r="G953" s="60"/>
      <c r="H953" s="60"/>
    </row>
    <row r="954">
      <c r="A954" s="12"/>
      <c r="B954" s="60"/>
      <c r="C954" s="60"/>
      <c r="D954" s="60"/>
      <c r="E954" s="60"/>
      <c r="F954" s="60"/>
      <c r="G954" s="60"/>
      <c r="H954" s="60"/>
    </row>
    <row r="955">
      <c r="A955" s="12"/>
      <c r="B955" s="60"/>
      <c r="C955" s="60"/>
      <c r="D955" s="60"/>
      <c r="E955" s="60"/>
      <c r="F955" s="60"/>
      <c r="G955" s="60"/>
      <c r="H955" s="60"/>
    </row>
    <row r="956">
      <c r="A956" s="12"/>
      <c r="B956" s="60"/>
      <c r="C956" s="60"/>
      <c r="D956" s="60"/>
      <c r="E956" s="60"/>
      <c r="F956" s="60"/>
      <c r="G956" s="60"/>
      <c r="H956" s="60"/>
    </row>
    <row r="957">
      <c r="A957" s="12"/>
      <c r="B957" s="60"/>
      <c r="C957" s="60"/>
      <c r="D957" s="60"/>
      <c r="E957" s="60"/>
      <c r="F957" s="60"/>
      <c r="G957" s="60"/>
      <c r="H957" s="60"/>
    </row>
    <row r="958">
      <c r="A958" s="12"/>
      <c r="B958" s="60"/>
      <c r="C958" s="60"/>
      <c r="D958" s="60"/>
      <c r="E958" s="60"/>
      <c r="F958" s="60"/>
      <c r="G958" s="60"/>
      <c r="H958" s="60"/>
    </row>
    <row r="959">
      <c r="A959" s="12"/>
      <c r="B959" s="60"/>
      <c r="C959" s="60"/>
      <c r="D959" s="60"/>
      <c r="E959" s="60"/>
      <c r="F959" s="60"/>
      <c r="G959" s="60"/>
      <c r="H959" s="60"/>
    </row>
    <row r="960">
      <c r="A960" s="12"/>
      <c r="B960" s="60"/>
      <c r="C960" s="60"/>
      <c r="D960" s="60"/>
      <c r="E960" s="60"/>
      <c r="F960" s="60"/>
      <c r="G960" s="60"/>
      <c r="H960" s="60"/>
    </row>
    <row r="961">
      <c r="A961" s="12"/>
      <c r="B961" s="60"/>
      <c r="C961" s="60"/>
      <c r="D961" s="60"/>
      <c r="E961" s="60"/>
      <c r="F961" s="60"/>
      <c r="G961" s="60"/>
      <c r="H961" s="60"/>
    </row>
    <row r="962">
      <c r="A962" s="12"/>
      <c r="B962" s="60"/>
      <c r="C962" s="60"/>
      <c r="D962" s="60"/>
      <c r="E962" s="60"/>
      <c r="F962" s="60"/>
      <c r="G962" s="60"/>
      <c r="H962" s="60"/>
    </row>
    <row r="963">
      <c r="A963" s="12"/>
      <c r="B963" s="60"/>
      <c r="C963" s="60"/>
      <c r="D963" s="60"/>
      <c r="E963" s="60"/>
      <c r="F963" s="60"/>
      <c r="G963" s="60"/>
      <c r="H963" s="60"/>
    </row>
    <row r="964">
      <c r="A964" s="12"/>
      <c r="B964" s="60"/>
      <c r="C964" s="60"/>
      <c r="D964" s="60"/>
      <c r="E964" s="60"/>
      <c r="F964" s="60"/>
      <c r="G964" s="60"/>
      <c r="H964" s="60"/>
    </row>
    <row r="965">
      <c r="A965" s="12"/>
      <c r="B965" s="60"/>
      <c r="C965" s="60"/>
      <c r="D965" s="60"/>
      <c r="E965" s="60"/>
      <c r="F965" s="60"/>
      <c r="G965" s="60"/>
      <c r="H965" s="60"/>
    </row>
    <row r="966">
      <c r="A966" s="12"/>
      <c r="B966" s="60"/>
      <c r="C966" s="60"/>
      <c r="D966" s="60"/>
      <c r="E966" s="60"/>
      <c r="F966" s="60"/>
      <c r="G966" s="60"/>
      <c r="H966" s="60"/>
    </row>
    <row r="967">
      <c r="A967" s="12"/>
      <c r="B967" s="60"/>
      <c r="C967" s="60"/>
      <c r="D967" s="60"/>
      <c r="E967" s="60"/>
      <c r="F967" s="60"/>
      <c r="G967" s="60"/>
      <c r="H967" s="60"/>
    </row>
    <row r="968">
      <c r="A968" s="12"/>
      <c r="B968" s="60"/>
      <c r="C968" s="60"/>
      <c r="D968" s="60"/>
      <c r="E968" s="60"/>
      <c r="F968" s="60"/>
      <c r="G968" s="60"/>
      <c r="H968" s="60"/>
    </row>
    <row r="969">
      <c r="A969" s="12"/>
      <c r="B969" s="60"/>
      <c r="C969" s="60"/>
      <c r="D969" s="60"/>
      <c r="E969" s="60"/>
      <c r="F969" s="60"/>
      <c r="G969" s="60"/>
      <c r="H969" s="60"/>
    </row>
    <row r="970">
      <c r="A970" s="12"/>
      <c r="B970" s="60"/>
      <c r="C970" s="60"/>
      <c r="D970" s="60"/>
      <c r="E970" s="60"/>
      <c r="F970" s="60"/>
      <c r="G970" s="60"/>
      <c r="H970" s="60"/>
    </row>
    <row r="971">
      <c r="A971" s="12"/>
      <c r="B971" s="60"/>
      <c r="C971" s="60"/>
      <c r="D971" s="60"/>
      <c r="E971" s="60"/>
      <c r="F971" s="60"/>
      <c r="G971" s="60"/>
      <c r="H971" s="60"/>
    </row>
    <row r="972">
      <c r="A972" s="12"/>
      <c r="B972" s="60"/>
      <c r="C972" s="60"/>
      <c r="D972" s="60"/>
      <c r="E972" s="60"/>
      <c r="F972" s="60"/>
      <c r="G972" s="60"/>
      <c r="H972" s="60"/>
    </row>
    <row r="973">
      <c r="A973" s="12"/>
      <c r="B973" s="60"/>
      <c r="C973" s="60"/>
      <c r="D973" s="60"/>
      <c r="E973" s="60"/>
      <c r="F973" s="60"/>
      <c r="G973" s="60"/>
      <c r="H973" s="60"/>
    </row>
    <row r="974">
      <c r="A974" s="12"/>
      <c r="B974" s="60"/>
      <c r="C974" s="60"/>
      <c r="D974" s="60"/>
      <c r="E974" s="60"/>
      <c r="F974" s="60"/>
      <c r="G974" s="60"/>
      <c r="H974" s="60"/>
    </row>
    <row r="975">
      <c r="A975" s="12"/>
      <c r="B975" s="60"/>
      <c r="C975" s="60"/>
      <c r="D975" s="60"/>
      <c r="E975" s="60"/>
      <c r="F975" s="60"/>
      <c r="G975" s="60"/>
      <c r="H975" s="60"/>
    </row>
    <row r="976">
      <c r="A976" s="12"/>
      <c r="B976" s="60"/>
      <c r="C976" s="60"/>
      <c r="D976" s="60"/>
      <c r="E976" s="60"/>
      <c r="F976" s="60"/>
      <c r="G976" s="60"/>
      <c r="H976" s="60"/>
    </row>
    <row r="977">
      <c r="A977" s="12"/>
      <c r="B977" s="60"/>
      <c r="C977" s="60"/>
      <c r="D977" s="60"/>
      <c r="E977" s="60"/>
      <c r="F977" s="60"/>
      <c r="G977" s="60"/>
      <c r="H977" s="60"/>
    </row>
    <row r="978">
      <c r="A978" s="12"/>
      <c r="B978" s="60"/>
      <c r="C978" s="60"/>
      <c r="D978" s="60"/>
      <c r="E978" s="60"/>
      <c r="F978" s="60"/>
      <c r="G978" s="60"/>
      <c r="H978" s="60"/>
    </row>
    <row r="979">
      <c r="A979" s="12"/>
      <c r="B979" s="60"/>
      <c r="C979" s="60"/>
      <c r="D979" s="60"/>
      <c r="E979" s="60"/>
      <c r="F979" s="60"/>
      <c r="G979" s="60"/>
      <c r="H979" s="60"/>
    </row>
    <row r="980">
      <c r="A980" s="12"/>
      <c r="B980" s="60"/>
      <c r="C980" s="60"/>
      <c r="D980" s="60"/>
      <c r="E980" s="60"/>
      <c r="F980" s="60"/>
      <c r="G980" s="60"/>
      <c r="H980" s="60"/>
    </row>
    <row r="981">
      <c r="A981" s="12"/>
      <c r="B981" s="60"/>
      <c r="C981" s="60"/>
      <c r="D981" s="60"/>
      <c r="E981" s="60"/>
      <c r="F981" s="60"/>
      <c r="G981" s="60"/>
      <c r="H981" s="60"/>
    </row>
    <row r="982">
      <c r="A982" s="12"/>
      <c r="B982" s="60"/>
      <c r="C982" s="60"/>
      <c r="D982" s="60"/>
      <c r="E982" s="60"/>
      <c r="F982" s="60"/>
      <c r="G982" s="60"/>
      <c r="H982" s="60"/>
    </row>
    <row r="983">
      <c r="A983" s="12"/>
      <c r="B983" s="60"/>
      <c r="C983" s="60"/>
      <c r="D983" s="60"/>
      <c r="E983" s="60"/>
      <c r="F983" s="60"/>
      <c r="G983" s="60"/>
      <c r="H983" s="60"/>
    </row>
    <row r="984">
      <c r="A984" s="12"/>
      <c r="B984" s="60"/>
      <c r="C984" s="60"/>
      <c r="D984" s="60"/>
      <c r="E984" s="60"/>
      <c r="F984" s="60"/>
      <c r="G984" s="60"/>
      <c r="H984" s="60"/>
    </row>
    <row r="985">
      <c r="A985" s="12"/>
      <c r="B985" s="60"/>
      <c r="C985" s="60"/>
      <c r="D985" s="60"/>
      <c r="E985" s="60"/>
      <c r="F985" s="60"/>
      <c r="G985" s="60"/>
      <c r="H985" s="60"/>
    </row>
    <row r="986">
      <c r="A986" s="12"/>
      <c r="B986" s="60"/>
      <c r="C986" s="60"/>
      <c r="D986" s="60"/>
      <c r="E986" s="60"/>
      <c r="F986" s="60"/>
      <c r="G986" s="60"/>
      <c r="H986" s="60"/>
    </row>
    <row r="987">
      <c r="A987" s="12"/>
      <c r="B987" s="60"/>
      <c r="C987" s="60"/>
      <c r="D987" s="60"/>
      <c r="E987" s="60"/>
      <c r="F987" s="60"/>
      <c r="G987" s="60"/>
      <c r="H987" s="60"/>
    </row>
    <row r="988">
      <c r="A988" s="12"/>
      <c r="B988" s="60"/>
      <c r="C988" s="60"/>
      <c r="D988" s="60"/>
      <c r="E988" s="60"/>
      <c r="F988" s="60"/>
      <c r="G988" s="60"/>
      <c r="H988" s="60"/>
    </row>
    <row r="989">
      <c r="A989" s="12"/>
      <c r="B989" s="60"/>
      <c r="C989" s="60"/>
      <c r="D989" s="60"/>
      <c r="E989" s="60"/>
      <c r="F989" s="60"/>
      <c r="G989" s="60"/>
      <c r="H989" s="60"/>
    </row>
    <row r="990">
      <c r="A990" s="12"/>
      <c r="B990" s="60"/>
      <c r="C990" s="60"/>
      <c r="D990" s="60"/>
      <c r="E990" s="60"/>
      <c r="F990" s="60"/>
      <c r="G990" s="60"/>
      <c r="H990" s="60"/>
    </row>
    <row r="991">
      <c r="A991" s="12"/>
      <c r="B991" s="60"/>
      <c r="C991" s="60"/>
      <c r="D991" s="60"/>
      <c r="E991" s="60"/>
      <c r="F991" s="60"/>
      <c r="G991" s="60"/>
      <c r="H991" s="60"/>
    </row>
    <row r="992">
      <c r="A992" s="12"/>
      <c r="B992" s="60"/>
      <c r="C992" s="60"/>
      <c r="D992" s="60"/>
      <c r="E992" s="60"/>
      <c r="F992" s="60"/>
      <c r="G992" s="60"/>
      <c r="H992" s="60"/>
    </row>
    <row r="993">
      <c r="A993" s="12"/>
      <c r="B993" s="60"/>
      <c r="C993" s="60"/>
      <c r="D993" s="60"/>
      <c r="E993" s="60"/>
      <c r="F993" s="60"/>
      <c r="G993" s="60"/>
      <c r="H993" s="60"/>
    </row>
    <row r="994">
      <c r="A994" s="12"/>
      <c r="B994" s="60"/>
      <c r="C994" s="60"/>
      <c r="D994" s="60"/>
      <c r="E994" s="60"/>
      <c r="F994" s="60"/>
      <c r="G994" s="60"/>
      <c r="H994" s="60"/>
    </row>
    <row r="995">
      <c r="A995" s="12"/>
      <c r="B995" s="60"/>
      <c r="C995" s="60"/>
      <c r="D995" s="60"/>
      <c r="E995" s="60"/>
      <c r="F995" s="60"/>
      <c r="G995" s="60"/>
      <c r="H995" s="60"/>
    </row>
    <row r="996">
      <c r="A996" s="12"/>
      <c r="B996" s="60"/>
      <c r="C996" s="60"/>
      <c r="D996" s="60"/>
      <c r="E996" s="60"/>
      <c r="F996" s="60"/>
      <c r="G996" s="60"/>
      <c r="H996" s="60"/>
    </row>
    <row r="997">
      <c r="A997" s="12"/>
      <c r="B997" s="60"/>
      <c r="C997" s="60"/>
      <c r="D997" s="60"/>
      <c r="E997" s="60"/>
      <c r="F997" s="60"/>
      <c r="G997" s="60"/>
      <c r="H997" s="60"/>
    </row>
    <row r="998">
      <c r="A998" s="12"/>
      <c r="B998" s="60"/>
      <c r="C998" s="60"/>
      <c r="D998" s="60"/>
      <c r="E998" s="60"/>
      <c r="F998" s="60"/>
      <c r="G998" s="60"/>
      <c r="H998" s="60"/>
    </row>
    <row r="999">
      <c r="A999" s="12"/>
      <c r="B999" s="60"/>
      <c r="C999" s="60"/>
      <c r="D999" s="60"/>
      <c r="E999" s="60"/>
      <c r="F999" s="60"/>
      <c r="G999" s="60"/>
      <c r="H999" s="60"/>
    </row>
    <row r="1000">
      <c r="A1000" s="12"/>
      <c r="B1000" s="60"/>
      <c r="C1000" s="60"/>
      <c r="D1000" s="60"/>
      <c r="E1000" s="60"/>
      <c r="F1000" s="60"/>
      <c r="G1000" s="60"/>
      <c r="H1000" s="60"/>
    </row>
    <row r="1001">
      <c r="A1001" s="12"/>
      <c r="B1001" s="60"/>
      <c r="C1001" s="60"/>
      <c r="D1001" s="60"/>
      <c r="E1001" s="60"/>
      <c r="F1001" s="60"/>
      <c r="G1001" s="60"/>
      <c r="H1001" s="60"/>
    </row>
    <row r="1002">
      <c r="A1002" s="12"/>
      <c r="B1002" s="60"/>
      <c r="C1002" s="60"/>
      <c r="D1002" s="60"/>
      <c r="E1002" s="60"/>
      <c r="F1002" s="60"/>
      <c r="G1002" s="60"/>
      <c r="H1002" s="60"/>
    </row>
    <row r="1003">
      <c r="A1003" s="12"/>
      <c r="B1003" s="60"/>
      <c r="C1003" s="60"/>
      <c r="D1003" s="60"/>
      <c r="E1003" s="60"/>
      <c r="F1003" s="60"/>
      <c r="G1003" s="60"/>
      <c r="H1003" s="60"/>
    </row>
  </sheetData>
  <mergeCells count="5">
    <mergeCell ref="H1:J1"/>
    <mergeCell ref="A2:K2"/>
    <mergeCell ref="A3:H3"/>
    <mergeCell ref="A4:H4"/>
    <mergeCell ref="J4:K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25.13"/>
    <col customWidth="1" min="3" max="3" width="12.63"/>
  </cols>
  <sheetData>
    <row r="1" ht="75.0" customHeight="1">
      <c r="A1" s="4" t="s">
        <v>129</v>
      </c>
      <c r="B1" s="3" t="s">
        <v>130</v>
      </c>
      <c r="C1" s="9">
        <f>((B7 * 100)/B6) /100</f>
        <v>0.4244913332</v>
      </c>
    </row>
    <row r="2">
      <c r="A2" s="10" t="s">
        <v>1361</v>
      </c>
      <c r="C2" s="10"/>
    </row>
    <row r="3">
      <c r="A3" s="12"/>
      <c r="B3" s="12"/>
      <c r="C3" s="12"/>
    </row>
    <row r="4" ht="30.0" customHeight="1">
      <c r="A4" s="39" t="s">
        <v>20</v>
      </c>
      <c r="B4" s="39" t="s">
        <v>1362</v>
      </c>
      <c r="C4" s="99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ht="30.0" customHeight="1">
      <c r="A5" s="100"/>
      <c r="B5" s="100"/>
      <c r="C5" s="10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>
      <c r="A6" s="41" t="s">
        <v>1363</v>
      </c>
      <c r="B6" s="102">
        <v>2.901931853E7</v>
      </c>
      <c r="C6" s="103"/>
    </row>
    <row r="7">
      <c r="A7" s="41" t="s">
        <v>1364</v>
      </c>
      <c r="B7" s="102">
        <v>1.231844921E7</v>
      </c>
      <c r="C7" s="103"/>
    </row>
    <row r="8">
      <c r="A8" s="62"/>
      <c r="B8" s="62"/>
      <c r="C8" s="103"/>
    </row>
    <row r="9">
      <c r="A9" s="62"/>
      <c r="B9" s="62"/>
      <c r="C9" s="103"/>
    </row>
    <row r="10">
      <c r="A10" s="62"/>
      <c r="B10" s="62"/>
      <c r="C10" s="103"/>
    </row>
    <row r="11">
      <c r="A11" s="62"/>
      <c r="B11" s="62"/>
      <c r="C11" s="103"/>
    </row>
    <row r="12">
      <c r="A12" s="62"/>
      <c r="B12" s="62"/>
      <c r="C12" s="103"/>
    </row>
    <row r="13">
      <c r="A13" s="62"/>
      <c r="B13" s="62"/>
      <c r="C13" s="103"/>
    </row>
    <row r="14">
      <c r="A14" s="62"/>
      <c r="B14" s="62"/>
      <c r="C14" s="103"/>
    </row>
    <row r="15">
      <c r="A15" s="62"/>
      <c r="B15" s="62"/>
      <c r="C15" s="103"/>
    </row>
    <row r="16">
      <c r="A16" s="62"/>
      <c r="B16" s="62"/>
      <c r="C16" s="103"/>
    </row>
    <row r="17">
      <c r="A17" s="62"/>
      <c r="B17" s="62"/>
      <c r="C17" s="103"/>
    </row>
    <row r="18">
      <c r="A18" s="62"/>
      <c r="B18" s="62"/>
      <c r="C18" s="103"/>
    </row>
    <row r="19">
      <c r="A19" s="62"/>
      <c r="B19" s="62"/>
      <c r="C19" s="103"/>
    </row>
    <row r="20">
      <c r="A20" s="62"/>
      <c r="B20" s="62"/>
      <c r="C20" s="103"/>
    </row>
    <row r="21">
      <c r="A21" s="62"/>
      <c r="B21" s="62"/>
      <c r="C21" s="103"/>
    </row>
    <row r="22">
      <c r="A22" s="62"/>
      <c r="B22" s="62"/>
      <c r="C22" s="103"/>
    </row>
    <row r="23">
      <c r="A23" s="62"/>
      <c r="B23" s="62"/>
      <c r="C23" s="103"/>
    </row>
    <row r="24">
      <c r="A24" s="62"/>
      <c r="B24" s="62"/>
      <c r="C24" s="103"/>
    </row>
    <row r="25">
      <c r="A25" s="62"/>
      <c r="B25" s="62"/>
      <c r="C25" s="103"/>
    </row>
    <row r="26">
      <c r="A26" s="62"/>
      <c r="B26" s="62"/>
      <c r="C26" s="103"/>
    </row>
    <row r="27">
      <c r="A27" s="62"/>
      <c r="B27" s="62"/>
      <c r="C27" s="103"/>
    </row>
    <row r="28">
      <c r="A28" s="62"/>
      <c r="B28" s="62"/>
      <c r="C28" s="103"/>
    </row>
    <row r="29">
      <c r="A29" s="62"/>
      <c r="B29" s="62"/>
      <c r="C29" s="103"/>
    </row>
    <row r="30">
      <c r="A30" s="62"/>
      <c r="B30" s="62"/>
      <c r="C30" s="103"/>
    </row>
    <row r="31">
      <c r="A31" s="62"/>
      <c r="B31" s="62"/>
      <c r="C31" s="103"/>
    </row>
    <row r="32">
      <c r="A32" s="62"/>
      <c r="B32" s="62"/>
      <c r="C32" s="103"/>
    </row>
    <row r="33">
      <c r="A33" s="62"/>
      <c r="B33" s="62"/>
      <c r="C33" s="103"/>
    </row>
    <row r="34">
      <c r="A34" s="62"/>
      <c r="B34" s="62"/>
      <c r="C34" s="103"/>
    </row>
    <row r="35">
      <c r="A35" s="62"/>
      <c r="B35" s="62"/>
      <c r="C35" s="103"/>
    </row>
    <row r="36">
      <c r="A36" s="62"/>
      <c r="B36" s="62"/>
      <c r="C36" s="103"/>
    </row>
    <row r="37">
      <c r="A37" s="62"/>
      <c r="B37" s="62"/>
      <c r="C37" s="103"/>
    </row>
    <row r="38">
      <c r="A38" s="62"/>
      <c r="B38" s="62"/>
      <c r="C38" s="103"/>
    </row>
    <row r="39">
      <c r="A39" s="62"/>
      <c r="B39" s="62"/>
      <c r="C39" s="103"/>
    </row>
    <row r="40">
      <c r="A40" s="62"/>
      <c r="B40" s="62"/>
      <c r="C40" s="103"/>
    </row>
    <row r="41">
      <c r="A41" s="62"/>
      <c r="B41" s="62"/>
      <c r="C41" s="103"/>
    </row>
    <row r="42">
      <c r="A42" s="62"/>
      <c r="B42" s="62"/>
      <c r="C42" s="103"/>
    </row>
    <row r="43">
      <c r="A43" s="62"/>
      <c r="B43" s="62"/>
      <c r="C43" s="103"/>
    </row>
    <row r="44">
      <c r="A44" s="62"/>
      <c r="B44" s="62"/>
      <c r="C44" s="103"/>
    </row>
    <row r="45">
      <c r="A45" s="62"/>
      <c r="B45" s="62"/>
      <c r="C45" s="103"/>
    </row>
    <row r="46">
      <c r="A46" s="62"/>
      <c r="B46" s="62"/>
      <c r="C46" s="103"/>
    </row>
    <row r="47">
      <c r="A47" s="62"/>
      <c r="B47" s="62"/>
      <c r="C47" s="103"/>
    </row>
    <row r="48">
      <c r="A48" s="62"/>
      <c r="B48" s="62"/>
      <c r="C48" s="103"/>
    </row>
    <row r="49">
      <c r="A49" s="62"/>
      <c r="B49" s="62"/>
      <c r="C49" s="103"/>
    </row>
    <row r="50">
      <c r="A50" s="62"/>
      <c r="B50" s="62"/>
      <c r="C50" s="103"/>
    </row>
    <row r="51">
      <c r="A51" s="62"/>
      <c r="B51" s="62"/>
      <c r="C51" s="103"/>
    </row>
    <row r="52">
      <c r="A52" s="62"/>
      <c r="B52" s="62"/>
      <c r="C52" s="103"/>
    </row>
    <row r="53">
      <c r="A53" s="62"/>
      <c r="B53" s="62"/>
      <c r="C53" s="103"/>
    </row>
    <row r="54">
      <c r="A54" s="62"/>
      <c r="B54" s="62"/>
      <c r="C54" s="103"/>
    </row>
    <row r="55">
      <c r="A55" s="62"/>
      <c r="B55" s="62"/>
      <c r="C55" s="103"/>
    </row>
    <row r="56">
      <c r="A56" s="62"/>
      <c r="B56" s="62"/>
      <c r="C56" s="103"/>
    </row>
    <row r="57">
      <c r="A57" s="62"/>
      <c r="B57" s="62"/>
      <c r="C57" s="103"/>
    </row>
    <row r="58">
      <c r="A58" s="62"/>
      <c r="B58" s="62"/>
      <c r="C58" s="103"/>
    </row>
    <row r="59">
      <c r="A59" s="62"/>
      <c r="B59" s="62"/>
      <c r="C59" s="103"/>
    </row>
    <row r="60">
      <c r="A60" s="62"/>
      <c r="B60" s="62"/>
      <c r="C60" s="103"/>
    </row>
    <row r="61">
      <c r="A61" s="62"/>
      <c r="B61" s="62"/>
      <c r="C61" s="103"/>
    </row>
    <row r="62">
      <c r="A62" s="62"/>
      <c r="B62" s="62"/>
      <c r="C62" s="103"/>
    </row>
    <row r="63">
      <c r="A63" s="62"/>
      <c r="B63" s="62"/>
      <c r="C63" s="103"/>
    </row>
    <row r="64">
      <c r="A64" s="62"/>
      <c r="B64" s="62"/>
      <c r="C64" s="103"/>
    </row>
    <row r="65">
      <c r="A65" s="62"/>
      <c r="B65" s="62"/>
      <c r="C65" s="103"/>
    </row>
    <row r="66">
      <c r="A66" s="62"/>
      <c r="B66" s="62"/>
      <c r="C66" s="103"/>
    </row>
    <row r="67">
      <c r="A67" s="62"/>
      <c r="B67" s="62"/>
      <c r="C67" s="103"/>
    </row>
    <row r="68">
      <c r="A68" s="62"/>
      <c r="B68" s="62"/>
      <c r="C68" s="103"/>
    </row>
    <row r="69">
      <c r="A69" s="62"/>
      <c r="B69" s="62"/>
      <c r="C69" s="103"/>
    </row>
    <row r="70">
      <c r="A70" s="62"/>
      <c r="B70" s="62"/>
      <c r="C70" s="103"/>
    </row>
    <row r="71">
      <c r="A71" s="62"/>
      <c r="B71" s="62"/>
      <c r="C71" s="103"/>
    </row>
    <row r="72">
      <c r="A72" s="62"/>
      <c r="B72" s="62"/>
      <c r="C72" s="103"/>
    </row>
    <row r="73">
      <c r="A73" s="62"/>
      <c r="B73" s="62"/>
      <c r="C73" s="103"/>
    </row>
    <row r="74">
      <c r="A74" s="62"/>
      <c r="B74" s="62"/>
      <c r="C74" s="103"/>
    </row>
    <row r="75">
      <c r="A75" s="62"/>
      <c r="B75" s="62"/>
      <c r="C75" s="103"/>
    </row>
    <row r="76">
      <c r="A76" s="62"/>
      <c r="B76" s="62"/>
      <c r="C76" s="103"/>
    </row>
    <row r="77">
      <c r="A77" s="62"/>
      <c r="B77" s="62"/>
      <c r="C77" s="103"/>
    </row>
    <row r="78">
      <c r="A78" s="62"/>
      <c r="B78" s="62"/>
      <c r="C78" s="103"/>
    </row>
    <row r="79">
      <c r="A79" s="62"/>
      <c r="B79" s="62"/>
      <c r="C79" s="103"/>
    </row>
    <row r="80">
      <c r="A80" s="62"/>
      <c r="B80" s="62"/>
      <c r="C80" s="103"/>
    </row>
    <row r="81">
      <c r="A81" s="62"/>
      <c r="B81" s="62"/>
      <c r="C81" s="103"/>
    </row>
    <row r="82">
      <c r="A82" s="62"/>
      <c r="B82" s="62"/>
      <c r="C82" s="103"/>
    </row>
    <row r="83">
      <c r="A83" s="62"/>
      <c r="B83" s="62"/>
      <c r="C83" s="103"/>
    </row>
    <row r="84">
      <c r="A84" s="62"/>
      <c r="B84" s="62"/>
      <c r="C84" s="103"/>
    </row>
    <row r="85">
      <c r="A85" s="62"/>
      <c r="B85" s="62"/>
      <c r="C85" s="103"/>
    </row>
    <row r="86">
      <c r="A86" s="62"/>
      <c r="B86" s="62"/>
      <c r="C86" s="103"/>
    </row>
    <row r="87">
      <c r="A87" s="62"/>
      <c r="B87" s="62"/>
      <c r="C87" s="103"/>
    </row>
    <row r="88">
      <c r="A88" s="62"/>
      <c r="B88" s="62"/>
      <c r="C88" s="103"/>
    </row>
    <row r="89">
      <c r="A89" s="62"/>
      <c r="B89" s="62"/>
      <c r="C89" s="103"/>
    </row>
    <row r="90">
      <c r="A90" s="62"/>
      <c r="B90" s="62"/>
      <c r="C90" s="103"/>
    </row>
    <row r="91">
      <c r="A91" s="62"/>
      <c r="B91" s="62"/>
      <c r="C91" s="103"/>
    </row>
    <row r="92">
      <c r="A92" s="62"/>
      <c r="B92" s="62"/>
      <c r="C92" s="103"/>
    </row>
    <row r="93">
      <c r="A93" s="62"/>
      <c r="B93" s="62"/>
      <c r="C93" s="103"/>
    </row>
    <row r="94">
      <c r="A94" s="62"/>
      <c r="B94" s="62"/>
      <c r="C94" s="103"/>
    </row>
    <row r="95">
      <c r="A95" s="62"/>
      <c r="B95" s="62"/>
      <c r="C95" s="103"/>
    </row>
    <row r="96">
      <c r="A96" s="62"/>
      <c r="B96" s="62"/>
      <c r="C96" s="103"/>
    </row>
    <row r="97">
      <c r="A97" s="62"/>
      <c r="B97" s="62"/>
      <c r="C97" s="103"/>
    </row>
    <row r="98">
      <c r="A98" s="62"/>
      <c r="B98" s="62"/>
      <c r="C98" s="103"/>
    </row>
    <row r="99">
      <c r="A99" s="62"/>
      <c r="B99" s="62"/>
      <c r="C99" s="103"/>
    </row>
    <row r="100">
      <c r="A100" s="62"/>
      <c r="B100" s="62"/>
      <c r="C100" s="103"/>
    </row>
    <row r="101">
      <c r="A101" s="62"/>
      <c r="B101" s="62"/>
      <c r="C101" s="103"/>
    </row>
    <row r="102">
      <c r="A102" s="62"/>
      <c r="B102" s="62"/>
      <c r="C102" s="103"/>
    </row>
    <row r="103">
      <c r="A103" s="62"/>
      <c r="B103" s="62"/>
      <c r="C103" s="103"/>
    </row>
    <row r="104">
      <c r="A104" s="62"/>
      <c r="B104" s="62"/>
      <c r="C104" s="103"/>
    </row>
    <row r="105">
      <c r="A105" s="62"/>
      <c r="B105" s="62"/>
      <c r="C105" s="103"/>
    </row>
    <row r="106">
      <c r="A106" s="12"/>
      <c r="B106" s="12"/>
      <c r="C106" s="103"/>
    </row>
    <row r="107">
      <c r="A107" s="12"/>
      <c r="B107" s="12"/>
      <c r="C107" s="103"/>
    </row>
    <row r="108">
      <c r="A108" s="12"/>
      <c r="B108" s="12"/>
      <c r="C108" s="103"/>
    </row>
    <row r="109">
      <c r="A109" s="12"/>
      <c r="B109" s="12"/>
      <c r="C109" s="103"/>
    </row>
    <row r="110">
      <c r="A110" s="12"/>
      <c r="B110" s="12"/>
      <c r="C110" s="103"/>
    </row>
    <row r="111">
      <c r="A111" s="12"/>
      <c r="B111" s="12"/>
      <c r="C111" s="103"/>
    </row>
    <row r="112">
      <c r="A112" s="12"/>
      <c r="B112" s="12"/>
      <c r="C112" s="103"/>
    </row>
    <row r="113">
      <c r="A113" s="12"/>
      <c r="B113" s="12"/>
      <c r="C113" s="103"/>
    </row>
    <row r="114">
      <c r="A114" s="12"/>
      <c r="B114" s="12"/>
      <c r="C114" s="103"/>
    </row>
    <row r="115">
      <c r="A115" s="12"/>
      <c r="B115" s="12"/>
      <c r="C115" s="103"/>
    </row>
    <row r="116">
      <c r="A116" s="12"/>
      <c r="B116" s="12"/>
      <c r="C116" s="103"/>
    </row>
    <row r="117">
      <c r="A117" s="12"/>
      <c r="B117" s="12"/>
      <c r="C117" s="103"/>
    </row>
    <row r="118">
      <c r="A118" s="12"/>
      <c r="B118" s="12"/>
      <c r="C118" s="103"/>
    </row>
    <row r="119">
      <c r="A119" s="12"/>
      <c r="B119" s="12"/>
      <c r="C119" s="103"/>
    </row>
    <row r="120">
      <c r="A120" s="12"/>
      <c r="B120" s="12"/>
      <c r="C120" s="103"/>
    </row>
    <row r="121">
      <c r="A121" s="12"/>
      <c r="B121" s="12"/>
      <c r="C121" s="103"/>
    </row>
    <row r="122">
      <c r="A122" s="12"/>
      <c r="B122" s="12"/>
      <c r="C122" s="103"/>
    </row>
    <row r="123">
      <c r="A123" s="12"/>
      <c r="B123" s="12"/>
      <c r="C123" s="103"/>
    </row>
    <row r="124">
      <c r="A124" s="12"/>
      <c r="B124" s="12"/>
      <c r="C124" s="103"/>
    </row>
    <row r="125">
      <c r="A125" s="12"/>
      <c r="B125" s="12"/>
      <c r="C125" s="103"/>
    </row>
    <row r="126">
      <c r="A126" s="12"/>
      <c r="B126" s="12"/>
      <c r="C126" s="103"/>
    </row>
    <row r="127">
      <c r="A127" s="12"/>
      <c r="B127" s="12"/>
      <c r="C127" s="103"/>
    </row>
    <row r="128">
      <c r="A128" s="12"/>
      <c r="B128" s="12"/>
      <c r="C128" s="103"/>
    </row>
    <row r="129">
      <c r="A129" s="12"/>
      <c r="B129" s="12"/>
      <c r="C129" s="103"/>
    </row>
    <row r="130">
      <c r="A130" s="12"/>
      <c r="B130" s="12"/>
      <c r="C130" s="103"/>
    </row>
    <row r="131">
      <c r="A131" s="12"/>
      <c r="B131" s="12"/>
      <c r="C131" s="103"/>
    </row>
    <row r="132">
      <c r="A132" s="12"/>
      <c r="B132" s="12"/>
      <c r="C132" s="103"/>
    </row>
    <row r="133">
      <c r="A133" s="12"/>
      <c r="B133" s="12"/>
      <c r="C133" s="103"/>
    </row>
    <row r="134">
      <c r="A134" s="12"/>
      <c r="B134" s="12"/>
      <c r="C134" s="103"/>
    </row>
    <row r="135">
      <c r="A135" s="12"/>
      <c r="B135" s="12"/>
      <c r="C135" s="103"/>
    </row>
    <row r="136">
      <c r="A136" s="12"/>
      <c r="B136" s="12"/>
      <c r="C136" s="103"/>
    </row>
    <row r="137">
      <c r="A137" s="12"/>
      <c r="B137" s="12"/>
      <c r="C137" s="103"/>
    </row>
    <row r="138">
      <c r="A138" s="12"/>
      <c r="B138" s="12"/>
      <c r="C138" s="103"/>
    </row>
    <row r="139">
      <c r="A139" s="12"/>
      <c r="B139" s="12"/>
      <c r="C139" s="103"/>
    </row>
    <row r="140">
      <c r="A140" s="12"/>
      <c r="B140" s="12"/>
      <c r="C140" s="103"/>
    </row>
    <row r="141">
      <c r="A141" s="12"/>
      <c r="B141" s="12"/>
      <c r="C141" s="103"/>
    </row>
    <row r="142">
      <c r="A142" s="12"/>
      <c r="B142" s="12"/>
      <c r="C142" s="103"/>
    </row>
    <row r="143">
      <c r="A143" s="12"/>
      <c r="B143" s="12"/>
      <c r="C143" s="103"/>
    </row>
    <row r="144">
      <c r="A144" s="12"/>
      <c r="B144" s="12"/>
      <c r="C144" s="103"/>
    </row>
    <row r="145">
      <c r="A145" s="12"/>
      <c r="B145" s="12"/>
      <c r="C145" s="103"/>
    </row>
    <row r="146">
      <c r="A146" s="12"/>
      <c r="B146" s="12"/>
      <c r="C146" s="103"/>
    </row>
    <row r="147">
      <c r="A147" s="12"/>
      <c r="B147" s="12"/>
      <c r="C147" s="103"/>
    </row>
    <row r="148">
      <c r="A148" s="12"/>
      <c r="B148" s="12"/>
      <c r="C148" s="103"/>
    </row>
    <row r="149">
      <c r="A149" s="12"/>
      <c r="B149" s="12"/>
      <c r="C149" s="103"/>
    </row>
    <row r="150">
      <c r="A150" s="12"/>
      <c r="B150" s="12"/>
      <c r="C150" s="103"/>
    </row>
    <row r="151">
      <c r="A151" s="12"/>
      <c r="B151" s="12"/>
      <c r="C151" s="103"/>
    </row>
    <row r="152">
      <c r="A152" s="12"/>
      <c r="B152" s="12"/>
      <c r="C152" s="103"/>
    </row>
    <row r="153">
      <c r="A153" s="12"/>
      <c r="B153" s="12"/>
      <c r="C153" s="103"/>
    </row>
    <row r="154">
      <c r="A154" s="12"/>
      <c r="B154" s="12"/>
      <c r="C154" s="103"/>
    </row>
    <row r="155">
      <c r="A155" s="12"/>
      <c r="B155" s="12"/>
      <c r="C155" s="103"/>
    </row>
    <row r="156">
      <c r="A156" s="12"/>
      <c r="B156" s="12"/>
      <c r="C156" s="103"/>
    </row>
    <row r="157">
      <c r="A157" s="12"/>
      <c r="B157" s="12"/>
      <c r="C157" s="103"/>
    </row>
    <row r="158">
      <c r="A158" s="12"/>
      <c r="B158" s="12"/>
      <c r="C158" s="103"/>
    </row>
    <row r="159">
      <c r="A159" s="12"/>
      <c r="B159" s="12"/>
      <c r="C159" s="103"/>
    </row>
    <row r="160">
      <c r="A160" s="12"/>
      <c r="B160" s="12"/>
      <c r="C160" s="103"/>
    </row>
    <row r="161">
      <c r="A161" s="12"/>
      <c r="B161" s="12"/>
      <c r="C161" s="103"/>
    </row>
    <row r="162">
      <c r="A162" s="12"/>
      <c r="B162" s="12"/>
      <c r="C162" s="103"/>
    </row>
    <row r="163">
      <c r="A163" s="12"/>
      <c r="B163" s="12"/>
      <c r="C163" s="103"/>
    </row>
    <row r="164">
      <c r="A164" s="12"/>
      <c r="B164" s="12"/>
      <c r="C164" s="103"/>
    </row>
    <row r="165">
      <c r="A165" s="12"/>
      <c r="B165" s="12"/>
      <c r="C165" s="103"/>
    </row>
    <row r="166">
      <c r="A166" s="12"/>
      <c r="B166" s="12"/>
      <c r="C166" s="103"/>
    </row>
    <row r="167">
      <c r="A167" s="12"/>
      <c r="B167" s="12"/>
      <c r="C167" s="103"/>
    </row>
    <row r="168">
      <c r="A168" s="12"/>
      <c r="B168" s="12"/>
      <c r="C168" s="103"/>
    </row>
    <row r="169">
      <c r="A169" s="12"/>
      <c r="B169" s="12"/>
      <c r="C169" s="103"/>
    </row>
    <row r="170">
      <c r="A170" s="12"/>
      <c r="B170" s="12"/>
      <c r="C170" s="103"/>
    </row>
    <row r="171">
      <c r="A171" s="12"/>
      <c r="B171" s="12"/>
      <c r="C171" s="103"/>
    </row>
    <row r="172">
      <c r="A172" s="12"/>
      <c r="B172" s="12"/>
      <c r="C172" s="103"/>
    </row>
    <row r="173">
      <c r="A173" s="12"/>
      <c r="B173" s="12"/>
      <c r="C173" s="103"/>
    </row>
    <row r="174">
      <c r="A174" s="12"/>
      <c r="B174" s="12"/>
      <c r="C174" s="103"/>
    </row>
    <row r="175">
      <c r="A175" s="12"/>
      <c r="B175" s="12"/>
      <c r="C175" s="103"/>
    </row>
    <row r="176">
      <c r="A176" s="12"/>
      <c r="B176" s="12"/>
      <c r="C176" s="103"/>
    </row>
    <row r="177">
      <c r="A177" s="12"/>
      <c r="B177" s="12"/>
      <c r="C177" s="103"/>
    </row>
    <row r="178">
      <c r="A178" s="12"/>
      <c r="B178" s="12"/>
      <c r="C178" s="103"/>
    </row>
    <row r="179">
      <c r="A179" s="12"/>
      <c r="B179" s="12"/>
      <c r="C179" s="103"/>
    </row>
    <row r="180">
      <c r="A180" s="12"/>
      <c r="B180" s="12"/>
      <c r="C180" s="103"/>
    </row>
    <row r="181">
      <c r="A181" s="12"/>
      <c r="B181" s="12"/>
      <c r="C181" s="103"/>
    </row>
    <row r="182">
      <c r="A182" s="12"/>
      <c r="B182" s="12"/>
      <c r="C182" s="103"/>
    </row>
    <row r="183">
      <c r="A183" s="12"/>
      <c r="B183" s="12"/>
      <c r="C183" s="103"/>
    </row>
    <row r="184">
      <c r="A184" s="12"/>
      <c r="B184" s="12"/>
      <c r="C184" s="103"/>
    </row>
    <row r="185">
      <c r="A185" s="12"/>
      <c r="B185" s="12"/>
      <c r="C185" s="103"/>
    </row>
    <row r="186">
      <c r="A186" s="12"/>
      <c r="B186" s="12"/>
      <c r="C186" s="103"/>
    </row>
    <row r="187">
      <c r="A187" s="12"/>
      <c r="B187" s="12"/>
      <c r="C187" s="103"/>
    </row>
    <row r="188">
      <c r="A188" s="12"/>
      <c r="B188" s="12"/>
      <c r="C188" s="103"/>
    </row>
    <row r="189">
      <c r="A189" s="12"/>
      <c r="B189" s="12"/>
      <c r="C189" s="103"/>
    </row>
    <row r="190">
      <c r="A190" s="12"/>
      <c r="B190" s="12"/>
      <c r="C190" s="103"/>
    </row>
    <row r="191">
      <c r="A191" s="12"/>
      <c r="B191" s="12"/>
      <c r="C191" s="103"/>
    </row>
    <row r="192">
      <c r="A192" s="12"/>
      <c r="B192" s="12"/>
      <c r="C192" s="103"/>
    </row>
    <row r="193">
      <c r="A193" s="12"/>
      <c r="B193" s="12"/>
      <c r="C193" s="103"/>
    </row>
    <row r="194">
      <c r="A194" s="12"/>
      <c r="B194" s="12"/>
      <c r="C194" s="103"/>
    </row>
    <row r="195">
      <c r="A195" s="12"/>
      <c r="B195" s="12"/>
      <c r="C195" s="103"/>
    </row>
    <row r="196">
      <c r="A196" s="12"/>
      <c r="B196" s="12"/>
      <c r="C196" s="103"/>
    </row>
    <row r="197">
      <c r="A197" s="12"/>
      <c r="B197" s="12"/>
      <c r="C197" s="103"/>
    </row>
    <row r="198">
      <c r="A198" s="12"/>
      <c r="B198" s="12"/>
      <c r="C198" s="103"/>
    </row>
    <row r="199">
      <c r="A199" s="12"/>
      <c r="B199" s="12"/>
      <c r="C199" s="103"/>
    </row>
    <row r="200">
      <c r="A200" s="12"/>
      <c r="B200" s="12"/>
      <c r="C200" s="103"/>
    </row>
    <row r="201">
      <c r="A201" s="12"/>
      <c r="B201" s="12"/>
      <c r="C201" s="103"/>
    </row>
    <row r="202">
      <c r="A202" s="12"/>
      <c r="B202" s="12"/>
      <c r="C202" s="103"/>
    </row>
    <row r="203">
      <c r="A203" s="12"/>
      <c r="B203" s="12"/>
      <c r="C203" s="103"/>
    </row>
    <row r="204">
      <c r="A204" s="12"/>
      <c r="B204" s="12"/>
      <c r="C204" s="103"/>
    </row>
    <row r="205">
      <c r="A205" s="12"/>
      <c r="B205" s="12"/>
      <c r="C205" s="103"/>
    </row>
    <row r="206">
      <c r="A206" s="12"/>
      <c r="B206" s="12"/>
      <c r="C206" s="103"/>
    </row>
    <row r="207">
      <c r="A207" s="12"/>
      <c r="B207" s="12"/>
      <c r="C207" s="103"/>
    </row>
    <row r="208">
      <c r="A208" s="12"/>
      <c r="B208" s="12"/>
      <c r="C208" s="103"/>
    </row>
    <row r="209">
      <c r="A209" s="12"/>
      <c r="B209" s="12"/>
      <c r="C209" s="103"/>
    </row>
    <row r="210">
      <c r="A210" s="12"/>
      <c r="B210" s="12"/>
      <c r="C210" s="103"/>
    </row>
    <row r="211">
      <c r="A211" s="12"/>
      <c r="B211" s="12"/>
      <c r="C211" s="103"/>
    </row>
    <row r="212">
      <c r="A212" s="12"/>
      <c r="B212" s="12"/>
      <c r="C212" s="103"/>
    </row>
    <row r="213">
      <c r="A213" s="12"/>
      <c r="B213" s="12"/>
      <c r="C213" s="103"/>
    </row>
    <row r="214">
      <c r="A214" s="12"/>
      <c r="B214" s="12"/>
      <c r="C214" s="103"/>
    </row>
    <row r="215">
      <c r="A215" s="12"/>
      <c r="B215" s="12"/>
      <c r="C215" s="103"/>
    </row>
    <row r="216">
      <c r="A216" s="12"/>
      <c r="B216" s="12"/>
      <c r="C216" s="103"/>
    </row>
    <row r="217">
      <c r="A217" s="12"/>
      <c r="B217" s="12"/>
      <c r="C217" s="103"/>
    </row>
    <row r="218">
      <c r="A218" s="12"/>
      <c r="B218" s="12"/>
      <c r="C218" s="103"/>
    </row>
    <row r="219">
      <c r="A219" s="12"/>
      <c r="B219" s="12"/>
      <c r="C219" s="103"/>
    </row>
    <row r="220">
      <c r="A220" s="12"/>
      <c r="B220" s="12"/>
      <c r="C220" s="103"/>
    </row>
    <row r="221">
      <c r="A221" s="12"/>
      <c r="B221" s="12"/>
      <c r="C221" s="103"/>
    </row>
    <row r="222">
      <c r="A222" s="12"/>
      <c r="B222" s="12"/>
      <c r="C222" s="103"/>
    </row>
    <row r="223">
      <c r="A223" s="12"/>
      <c r="B223" s="12"/>
      <c r="C223" s="103"/>
    </row>
    <row r="224">
      <c r="A224" s="12"/>
      <c r="B224" s="12"/>
      <c r="C224" s="103"/>
    </row>
    <row r="225">
      <c r="A225" s="12"/>
      <c r="B225" s="12"/>
      <c r="C225" s="103"/>
    </row>
    <row r="226">
      <c r="A226" s="12"/>
      <c r="B226" s="12"/>
      <c r="C226" s="103"/>
    </row>
    <row r="227">
      <c r="A227" s="12"/>
      <c r="B227" s="12"/>
      <c r="C227" s="103"/>
    </row>
    <row r="228">
      <c r="A228" s="12"/>
      <c r="B228" s="12"/>
      <c r="C228" s="103"/>
    </row>
    <row r="229">
      <c r="A229" s="12"/>
      <c r="B229" s="12"/>
      <c r="C229" s="103"/>
    </row>
    <row r="230">
      <c r="A230" s="12"/>
      <c r="B230" s="12"/>
      <c r="C230" s="103"/>
    </row>
    <row r="231">
      <c r="A231" s="12"/>
      <c r="B231" s="12"/>
      <c r="C231" s="103"/>
    </row>
    <row r="232">
      <c r="A232" s="12"/>
      <c r="B232" s="12"/>
      <c r="C232" s="103"/>
    </row>
    <row r="233">
      <c r="A233" s="12"/>
      <c r="B233" s="12"/>
      <c r="C233" s="103"/>
    </row>
    <row r="234">
      <c r="A234" s="12"/>
      <c r="B234" s="12"/>
      <c r="C234" s="103"/>
    </row>
    <row r="235">
      <c r="A235" s="12"/>
      <c r="B235" s="12"/>
      <c r="C235" s="103"/>
    </row>
    <row r="236">
      <c r="A236" s="12"/>
      <c r="B236" s="12"/>
      <c r="C236" s="103"/>
    </row>
    <row r="237">
      <c r="A237" s="12"/>
      <c r="B237" s="12"/>
      <c r="C237" s="103"/>
    </row>
    <row r="238">
      <c r="A238" s="12"/>
      <c r="B238" s="12"/>
      <c r="C238" s="103"/>
    </row>
    <row r="239">
      <c r="A239" s="12"/>
      <c r="B239" s="12"/>
      <c r="C239" s="103"/>
    </row>
    <row r="240">
      <c r="A240" s="12"/>
      <c r="B240" s="12"/>
      <c r="C240" s="103"/>
    </row>
    <row r="241">
      <c r="A241" s="12"/>
      <c r="B241" s="12"/>
      <c r="C241" s="103"/>
    </row>
    <row r="242">
      <c r="A242" s="12"/>
      <c r="B242" s="12"/>
      <c r="C242" s="103"/>
    </row>
    <row r="243">
      <c r="A243" s="12"/>
      <c r="B243" s="12"/>
      <c r="C243" s="103"/>
    </row>
    <row r="244">
      <c r="A244" s="12"/>
      <c r="B244" s="12"/>
      <c r="C244" s="103"/>
    </row>
    <row r="245">
      <c r="A245" s="12"/>
      <c r="B245" s="12"/>
      <c r="C245" s="103"/>
    </row>
    <row r="246">
      <c r="A246" s="12"/>
      <c r="B246" s="12"/>
      <c r="C246" s="103"/>
    </row>
    <row r="247">
      <c r="A247" s="12"/>
      <c r="B247" s="12"/>
      <c r="C247" s="103"/>
    </row>
    <row r="248">
      <c r="A248" s="12"/>
      <c r="B248" s="12"/>
      <c r="C248" s="103"/>
    </row>
    <row r="249">
      <c r="A249" s="12"/>
      <c r="B249" s="12"/>
      <c r="C249" s="103"/>
    </row>
    <row r="250">
      <c r="A250" s="12"/>
      <c r="B250" s="12"/>
      <c r="C250" s="103"/>
    </row>
    <row r="251">
      <c r="A251" s="12"/>
      <c r="B251" s="12"/>
      <c r="C251" s="103"/>
    </row>
    <row r="252">
      <c r="A252" s="12"/>
      <c r="B252" s="12"/>
      <c r="C252" s="103"/>
    </row>
    <row r="253">
      <c r="A253" s="12"/>
      <c r="B253" s="12"/>
      <c r="C253" s="103"/>
    </row>
    <row r="254">
      <c r="A254" s="12"/>
      <c r="B254" s="12"/>
      <c r="C254" s="103"/>
    </row>
    <row r="255">
      <c r="A255" s="12"/>
      <c r="B255" s="12"/>
      <c r="C255" s="103"/>
    </row>
    <row r="256">
      <c r="A256" s="12"/>
      <c r="B256" s="12"/>
      <c r="C256" s="103"/>
    </row>
    <row r="257">
      <c r="A257" s="12"/>
      <c r="B257" s="12"/>
      <c r="C257" s="103"/>
    </row>
    <row r="258">
      <c r="A258" s="12"/>
      <c r="B258" s="12"/>
      <c r="C258" s="103"/>
    </row>
    <row r="259">
      <c r="A259" s="12"/>
      <c r="B259" s="12"/>
      <c r="C259" s="103"/>
    </row>
    <row r="260">
      <c r="A260" s="12"/>
      <c r="B260" s="12"/>
      <c r="C260" s="103"/>
    </row>
    <row r="261">
      <c r="A261" s="12"/>
      <c r="B261" s="12"/>
      <c r="C261" s="103"/>
    </row>
    <row r="262">
      <c r="A262" s="12"/>
      <c r="B262" s="12"/>
      <c r="C262" s="103"/>
    </row>
    <row r="263">
      <c r="A263" s="12"/>
      <c r="B263" s="12"/>
      <c r="C263" s="103"/>
    </row>
    <row r="264">
      <c r="A264" s="12"/>
      <c r="B264" s="12"/>
      <c r="C264" s="103"/>
    </row>
    <row r="265">
      <c r="A265" s="12"/>
      <c r="B265" s="12"/>
      <c r="C265" s="103"/>
    </row>
    <row r="266">
      <c r="A266" s="12"/>
      <c r="B266" s="12"/>
      <c r="C266" s="103"/>
    </row>
    <row r="267">
      <c r="A267" s="12"/>
      <c r="B267" s="12"/>
      <c r="C267" s="103"/>
    </row>
    <row r="268">
      <c r="A268" s="12"/>
      <c r="B268" s="12"/>
      <c r="C268" s="103"/>
    </row>
    <row r="269">
      <c r="A269" s="12"/>
      <c r="B269" s="12"/>
      <c r="C269" s="103"/>
    </row>
    <row r="270">
      <c r="A270" s="12"/>
      <c r="B270" s="12"/>
      <c r="C270" s="103"/>
    </row>
    <row r="271">
      <c r="A271" s="12"/>
      <c r="B271" s="12"/>
      <c r="C271" s="103"/>
    </row>
    <row r="272">
      <c r="A272" s="12"/>
      <c r="B272" s="12"/>
      <c r="C272" s="103"/>
    </row>
    <row r="273">
      <c r="A273" s="12"/>
      <c r="B273" s="12"/>
      <c r="C273" s="103"/>
    </row>
    <row r="274">
      <c r="A274" s="12"/>
      <c r="B274" s="12"/>
      <c r="C274" s="103"/>
    </row>
    <row r="275">
      <c r="A275" s="12"/>
      <c r="B275" s="12"/>
      <c r="C275" s="103"/>
    </row>
    <row r="276">
      <c r="A276" s="12"/>
      <c r="B276" s="12"/>
      <c r="C276" s="103"/>
    </row>
    <row r="277">
      <c r="A277" s="12"/>
      <c r="B277" s="12"/>
      <c r="C277" s="103"/>
    </row>
    <row r="278">
      <c r="A278" s="12"/>
      <c r="B278" s="12"/>
      <c r="C278" s="103"/>
    </row>
    <row r="279">
      <c r="A279" s="12"/>
      <c r="B279" s="12"/>
      <c r="C279" s="103"/>
    </row>
    <row r="280">
      <c r="A280" s="12"/>
      <c r="B280" s="12"/>
      <c r="C280" s="103"/>
    </row>
    <row r="281">
      <c r="A281" s="12"/>
      <c r="B281" s="12"/>
      <c r="C281" s="103"/>
    </row>
    <row r="282">
      <c r="A282" s="12"/>
      <c r="B282" s="12"/>
      <c r="C282" s="103"/>
    </row>
    <row r="283">
      <c r="A283" s="12"/>
      <c r="B283" s="12"/>
      <c r="C283" s="103"/>
    </row>
    <row r="284">
      <c r="A284" s="12"/>
      <c r="B284" s="12"/>
      <c r="C284" s="103"/>
    </row>
    <row r="285">
      <c r="A285" s="12"/>
      <c r="B285" s="12"/>
      <c r="C285" s="103"/>
    </row>
    <row r="286">
      <c r="A286" s="12"/>
      <c r="B286" s="12"/>
      <c r="C286" s="103"/>
    </row>
    <row r="287">
      <c r="A287" s="12"/>
      <c r="B287" s="12"/>
      <c r="C287" s="103"/>
    </row>
    <row r="288">
      <c r="A288" s="12"/>
      <c r="B288" s="12"/>
      <c r="C288" s="103"/>
    </row>
    <row r="289">
      <c r="A289" s="12"/>
      <c r="B289" s="12"/>
      <c r="C289" s="103"/>
    </row>
    <row r="290">
      <c r="A290" s="12"/>
      <c r="B290" s="12"/>
      <c r="C290" s="103"/>
    </row>
    <row r="291">
      <c r="A291" s="12"/>
      <c r="B291" s="12"/>
      <c r="C291" s="103"/>
    </row>
    <row r="292">
      <c r="A292" s="12"/>
      <c r="B292" s="12"/>
      <c r="C292" s="103"/>
    </row>
    <row r="293">
      <c r="A293" s="12"/>
      <c r="B293" s="12"/>
      <c r="C293" s="103"/>
    </row>
    <row r="294">
      <c r="A294" s="12"/>
      <c r="B294" s="12"/>
      <c r="C294" s="103"/>
    </row>
    <row r="295">
      <c r="A295" s="12"/>
      <c r="B295" s="12"/>
      <c r="C295" s="103"/>
    </row>
    <row r="296">
      <c r="A296" s="12"/>
      <c r="B296" s="12"/>
      <c r="C296" s="103"/>
    </row>
    <row r="297">
      <c r="A297" s="12"/>
      <c r="B297" s="12"/>
      <c r="C297" s="103"/>
    </row>
    <row r="298">
      <c r="A298" s="12"/>
      <c r="B298" s="12"/>
      <c r="C298" s="103"/>
    </row>
    <row r="299">
      <c r="A299" s="12"/>
      <c r="B299" s="12"/>
      <c r="C299" s="103"/>
    </row>
    <row r="300">
      <c r="A300" s="12"/>
      <c r="B300" s="12"/>
      <c r="C300" s="103"/>
    </row>
    <row r="301">
      <c r="A301" s="12"/>
      <c r="B301" s="12"/>
      <c r="C301" s="103"/>
    </row>
    <row r="302">
      <c r="A302" s="12"/>
      <c r="B302" s="12"/>
      <c r="C302" s="103"/>
    </row>
    <row r="303">
      <c r="A303" s="12"/>
      <c r="B303" s="12"/>
      <c r="C303" s="103"/>
    </row>
    <row r="304">
      <c r="A304" s="12"/>
      <c r="B304" s="12"/>
      <c r="C304" s="103"/>
    </row>
    <row r="305">
      <c r="A305" s="12"/>
      <c r="B305" s="12"/>
      <c r="C305" s="103"/>
    </row>
    <row r="306">
      <c r="A306" s="12"/>
      <c r="B306" s="12"/>
      <c r="C306" s="103"/>
    </row>
    <row r="307">
      <c r="A307" s="12"/>
      <c r="B307" s="12"/>
      <c r="C307" s="103"/>
    </row>
    <row r="308">
      <c r="A308" s="12"/>
      <c r="B308" s="12"/>
      <c r="C308" s="103"/>
    </row>
    <row r="309">
      <c r="A309" s="12"/>
      <c r="B309" s="12"/>
      <c r="C309" s="103"/>
    </row>
    <row r="310">
      <c r="A310" s="12"/>
      <c r="B310" s="12"/>
      <c r="C310" s="103"/>
    </row>
    <row r="311">
      <c r="A311" s="12"/>
      <c r="B311" s="12"/>
      <c r="C311" s="103"/>
    </row>
    <row r="312">
      <c r="A312" s="12"/>
      <c r="B312" s="12"/>
      <c r="C312" s="103"/>
    </row>
    <row r="313">
      <c r="A313" s="12"/>
      <c r="B313" s="12"/>
      <c r="C313" s="103"/>
    </row>
    <row r="314">
      <c r="A314" s="12"/>
      <c r="B314" s="12"/>
      <c r="C314" s="103"/>
    </row>
    <row r="315">
      <c r="A315" s="12"/>
      <c r="B315" s="12"/>
      <c r="C315" s="103"/>
    </row>
    <row r="316">
      <c r="A316" s="12"/>
      <c r="B316" s="12"/>
      <c r="C316" s="103"/>
    </row>
    <row r="317">
      <c r="A317" s="12"/>
      <c r="B317" s="12"/>
      <c r="C317" s="103"/>
    </row>
    <row r="318">
      <c r="A318" s="12"/>
      <c r="B318" s="12"/>
      <c r="C318" s="103"/>
    </row>
    <row r="319">
      <c r="A319" s="12"/>
      <c r="B319" s="12"/>
      <c r="C319" s="103"/>
    </row>
    <row r="320">
      <c r="A320" s="12"/>
      <c r="B320" s="12"/>
      <c r="C320" s="103"/>
    </row>
    <row r="321">
      <c r="A321" s="12"/>
      <c r="B321" s="12"/>
      <c r="C321" s="103"/>
    </row>
    <row r="322">
      <c r="A322" s="12"/>
      <c r="B322" s="12"/>
      <c r="C322" s="103"/>
    </row>
    <row r="323">
      <c r="A323" s="12"/>
      <c r="B323" s="12"/>
      <c r="C323" s="103"/>
    </row>
    <row r="324">
      <c r="A324" s="12"/>
      <c r="B324" s="12"/>
      <c r="C324" s="103"/>
    </row>
    <row r="325">
      <c r="A325" s="12"/>
      <c r="B325" s="12"/>
      <c r="C325" s="103"/>
    </row>
    <row r="326">
      <c r="A326" s="12"/>
      <c r="B326" s="12"/>
      <c r="C326" s="103"/>
    </row>
    <row r="327">
      <c r="A327" s="12"/>
      <c r="B327" s="12"/>
      <c r="C327" s="103"/>
    </row>
    <row r="328">
      <c r="A328" s="12"/>
      <c r="B328" s="12"/>
      <c r="C328" s="103"/>
    </row>
    <row r="329">
      <c r="A329" s="12"/>
      <c r="B329" s="12"/>
      <c r="C329" s="103"/>
    </row>
    <row r="330">
      <c r="A330" s="12"/>
      <c r="B330" s="12"/>
      <c r="C330" s="103"/>
    </row>
    <row r="331">
      <c r="A331" s="12"/>
      <c r="B331" s="12"/>
      <c r="C331" s="103"/>
    </row>
    <row r="332">
      <c r="A332" s="12"/>
      <c r="B332" s="12"/>
      <c r="C332" s="103"/>
    </row>
    <row r="333">
      <c r="A333" s="12"/>
      <c r="B333" s="12"/>
      <c r="C333" s="103"/>
    </row>
    <row r="334">
      <c r="A334" s="12"/>
      <c r="B334" s="12"/>
      <c r="C334" s="103"/>
    </row>
    <row r="335">
      <c r="A335" s="12"/>
      <c r="B335" s="12"/>
      <c r="C335" s="103"/>
    </row>
    <row r="336">
      <c r="A336" s="12"/>
      <c r="B336" s="12"/>
      <c r="C336" s="103"/>
    </row>
    <row r="337">
      <c r="A337" s="12"/>
      <c r="B337" s="12"/>
      <c r="C337" s="103"/>
    </row>
    <row r="338">
      <c r="A338" s="12"/>
      <c r="B338" s="12"/>
      <c r="C338" s="103"/>
    </row>
    <row r="339">
      <c r="A339" s="12"/>
      <c r="B339" s="12"/>
      <c r="C339" s="103"/>
    </row>
    <row r="340">
      <c r="A340" s="12"/>
      <c r="B340" s="12"/>
      <c r="C340" s="103"/>
    </row>
    <row r="341">
      <c r="A341" s="12"/>
      <c r="B341" s="12"/>
      <c r="C341" s="103"/>
    </row>
    <row r="342">
      <c r="A342" s="12"/>
      <c r="B342" s="12"/>
      <c r="C342" s="103"/>
    </row>
    <row r="343">
      <c r="A343" s="12"/>
      <c r="B343" s="12"/>
      <c r="C343" s="103"/>
    </row>
    <row r="344">
      <c r="A344" s="12"/>
      <c r="B344" s="12"/>
      <c r="C344" s="103"/>
    </row>
    <row r="345">
      <c r="A345" s="12"/>
      <c r="B345" s="12"/>
      <c r="C345" s="103"/>
    </row>
    <row r="346">
      <c r="A346" s="12"/>
      <c r="B346" s="12"/>
      <c r="C346" s="103"/>
    </row>
    <row r="347">
      <c r="A347" s="12"/>
      <c r="B347" s="12"/>
      <c r="C347" s="103"/>
    </row>
    <row r="348">
      <c r="A348" s="12"/>
      <c r="B348" s="12"/>
      <c r="C348" s="103"/>
    </row>
    <row r="349">
      <c r="A349" s="12"/>
      <c r="B349" s="12"/>
      <c r="C349" s="103"/>
    </row>
    <row r="350">
      <c r="A350" s="12"/>
      <c r="B350" s="12"/>
      <c r="C350" s="103"/>
    </row>
    <row r="351">
      <c r="A351" s="12"/>
      <c r="B351" s="12"/>
      <c r="C351" s="103"/>
    </row>
    <row r="352">
      <c r="A352" s="12"/>
      <c r="B352" s="12"/>
      <c r="C352" s="103"/>
    </row>
    <row r="353">
      <c r="A353" s="12"/>
      <c r="B353" s="12"/>
      <c r="C353" s="103"/>
    </row>
    <row r="354">
      <c r="A354" s="12"/>
      <c r="B354" s="12"/>
      <c r="C354" s="103"/>
    </row>
    <row r="355">
      <c r="A355" s="12"/>
      <c r="B355" s="12"/>
      <c r="C355" s="103"/>
    </row>
    <row r="356">
      <c r="A356" s="12"/>
      <c r="B356" s="12"/>
      <c r="C356" s="103"/>
    </row>
    <row r="357">
      <c r="A357" s="12"/>
      <c r="B357" s="12"/>
      <c r="C357" s="103"/>
    </row>
    <row r="358">
      <c r="A358" s="12"/>
      <c r="B358" s="12"/>
      <c r="C358" s="103"/>
    </row>
    <row r="359">
      <c r="A359" s="12"/>
      <c r="B359" s="12"/>
      <c r="C359" s="103"/>
    </row>
    <row r="360">
      <c r="A360" s="12"/>
      <c r="B360" s="12"/>
      <c r="C360" s="103"/>
    </row>
    <row r="361">
      <c r="A361" s="12"/>
      <c r="B361" s="12"/>
      <c r="C361" s="103"/>
    </row>
    <row r="362">
      <c r="A362" s="12"/>
      <c r="B362" s="12"/>
      <c r="C362" s="103"/>
    </row>
    <row r="363">
      <c r="A363" s="12"/>
      <c r="B363" s="12"/>
      <c r="C363" s="103"/>
    </row>
    <row r="364">
      <c r="A364" s="12"/>
      <c r="B364" s="12"/>
      <c r="C364" s="103"/>
    </row>
    <row r="365">
      <c r="A365" s="12"/>
      <c r="B365" s="12"/>
      <c r="C365" s="103"/>
    </row>
    <row r="366">
      <c r="A366" s="12"/>
      <c r="B366" s="12"/>
      <c r="C366" s="103"/>
    </row>
    <row r="367">
      <c r="A367" s="12"/>
      <c r="B367" s="12"/>
      <c r="C367" s="103"/>
    </row>
    <row r="368">
      <c r="A368" s="12"/>
      <c r="B368" s="12"/>
      <c r="C368" s="103"/>
    </row>
    <row r="369">
      <c r="A369" s="12"/>
      <c r="B369" s="12"/>
      <c r="C369" s="103"/>
    </row>
    <row r="370">
      <c r="A370" s="12"/>
      <c r="B370" s="12"/>
      <c r="C370" s="103"/>
    </row>
    <row r="371">
      <c r="A371" s="12"/>
      <c r="B371" s="12"/>
      <c r="C371" s="103"/>
    </row>
    <row r="372">
      <c r="A372" s="12"/>
      <c r="B372" s="12"/>
      <c r="C372" s="103"/>
    </row>
    <row r="373">
      <c r="A373" s="12"/>
      <c r="B373" s="12"/>
      <c r="C373" s="103"/>
    </row>
    <row r="374">
      <c r="A374" s="12"/>
      <c r="B374" s="12"/>
      <c r="C374" s="103"/>
    </row>
    <row r="375">
      <c r="A375" s="12"/>
      <c r="B375" s="12"/>
      <c r="C375" s="103"/>
    </row>
    <row r="376">
      <c r="A376" s="12"/>
      <c r="B376" s="12"/>
      <c r="C376" s="103"/>
    </row>
    <row r="377">
      <c r="A377" s="12"/>
      <c r="B377" s="12"/>
      <c r="C377" s="103"/>
    </row>
    <row r="378">
      <c r="A378" s="12"/>
      <c r="B378" s="12"/>
      <c r="C378" s="103"/>
    </row>
    <row r="379">
      <c r="A379" s="12"/>
      <c r="B379" s="12"/>
      <c r="C379" s="103"/>
    </row>
    <row r="380">
      <c r="A380" s="12"/>
      <c r="B380" s="12"/>
      <c r="C380" s="103"/>
    </row>
    <row r="381">
      <c r="A381" s="12"/>
      <c r="B381" s="12"/>
      <c r="C381" s="103"/>
    </row>
    <row r="382">
      <c r="A382" s="12"/>
      <c r="B382" s="12"/>
      <c r="C382" s="103"/>
    </row>
    <row r="383">
      <c r="A383" s="12"/>
      <c r="B383" s="12"/>
      <c r="C383" s="103"/>
    </row>
    <row r="384">
      <c r="A384" s="12"/>
      <c r="B384" s="12"/>
      <c r="C384" s="103"/>
    </row>
    <row r="385">
      <c r="A385" s="12"/>
      <c r="B385" s="12"/>
      <c r="C385" s="103"/>
    </row>
    <row r="386">
      <c r="A386" s="12"/>
      <c r="B386" s="12"/>
      <c r="C386" s="103"/>
    </row>
    <row r="387">
      <c r="A387" s="12"/>
      <c r="B387" s="12"/>
      <c r="C387" s="103"/>
    </row>
    <row r="388">
      <c r="A388" s="12"/>
      <c r="B388" s="12"/>
      <c r="C388" s="103"/>
    </row>
    <row r="389">
      <c r="A389" s="12"/>
      <c r="B389" s="12"/>
      <c r="C389" s="103"/>
    </row>
    <row r="390">
      <c r="A390" s="12"/>
      <c r="B390" s="12"/>
      <c r="C390" s="103"/>
    </row>
    <row r="391">
      <c r="A391" s="12"/>
      <c r="B391" s="12"/>
      <c r="C391" s="103"/>
    </row>
    <row r="392">
      <c r="A392" s="12"/>
      <c r="B392" s="12"/>
      <c r="C392" s="103"/>
    </row>
    <row r="393">
      <c r="A393" s="12"/>
      <c r="B393" s="12"/>
      <c r="C393" s="103"/>
    </row>
    <row r="394">
      <c r="A394" s="12"/>
      <c r="B394" s="12"/>
      <c r="C394" s="103"/>
    </row>
    <row r="395">
      <c r="A395" s="12"/>
      <c r="B395" s="12"/>
      <c r="C395" s="103"/>
    </row>
    <row r="396">
      <c r="A396" s="12"/>
      <c r="B396" s="12"/>
      <c r="C396" s="103"/>
    </row>
    <row r="397">
      <c r="A397" s="12"/>
      <c r="B397" s="12"/>
      <c r="C397" s="103"/>
    </row>
    <row r="398">
      <c r="A398" s="12"/>
      <c r="B398" s="12"/>
      <c r="C398" s="103"/>
    </row>
    <row r="399">
      <c r="A399" s="12"/>
      <c r="B399" s="12"/>
      <c r="C399" s="103"/>
    </row>
    <row r="400">
      <c r="A400" s="12"/>
      <c r="B400" s="12"/>
      <c r="C400" s="103"/>
    </row>
    <row r="401">
      <c r="A401" s="12"/>
      <c r="B401" s="12"/>
      <c r="C401" s="103"/>
    </row>
    <row r="402">
      <c r="A402" s="12"/>
      <c r="B402" s="12"/>
      <c r="C402" s="103"/>
    </row>
    <row r="403">
      <c r="A403" s="12"/>
      <c r="B403" s="12"/>
      <c r="C403" s="103"/>
    </row>
    <row r="404">
      <c r="A404" s="12"/>
      <c r="B404" s="12"/>
      <c r="C404" s="103"/>
    </row>
    <row r="405">
      <c r="A405" s="12"/>
      <c r="B405" s="12"/>
      <c r="C405" s="103"/>
    </row>
    <row r="406">
      <c r="A406" s="12"/>
      <c r="B406" s="12"/>
      <c r="C406" s="103"/>
    </row>
    <row r="407">
      <c r="A407" s="12"/>
      <c r="B407" s="12"/>
      <c r="C407" s="103"/>
    </row>
    <row r="408">
      <c r="A408" s="12"/>
      <c r="B408" s="12"/>
      <c r="C408" s="103"/>
    </row>
    <row r="409">
      <c r="A409" s="12"/>
      <c r="B409" s="12"/>
      <c r="C409" s="103"/>
    </row>
    <row r="410">
      <c r="A410" s="12"/>
      <c r="B410" s="12"/>
      <c r="C410" s="103"/>
    </row>
    <row r="411">
      <c r="A411" s="12"/>
      <c r="B411" s="12"/>
      <c r="C411" s="103"/>
    </row>
    <row r="412">
      <c r="A412" s="12"/>
      <c r="B412" s="12"/>
      <c r="C412" s="103"/>
    </row>
    <row r="413">
      <c r="A413" s="12"/>
      <c r="B413" s="12"/>
      <c r="C413" s="103"/>
    </row>
    <row r="414">
      <c r="A414" s="12"/>
      <c r="B414" s="12"/>
      <c r="C414" s="103"/>
    </row>
    <row r="415">
      <c r="A415" s="12"/>
      <c r="B415" s="12"/>
      <c r="C415" s="103"/>
    </row>
    <row r="416">
      <c r="A416" s="12"/>
      <c r="B416" s="12"/>
      <c r="C416" s="103"/>
    </row>
    <row r="417">
      <c r="A417" s="12"/>
      <c r="B417" s="12"/>
      <c r="C417" s="103"/>
    </row>
    <row r="418">
      <c r="A418" s="12"/>
      <c r="B418" s="12"/>
      <c r="C418" s="103"/>
    </row>
    <row r="419">
      <c r="A419" s="12"/>
      <c r="B419" s="12"/>
      <c r="C419" s="103"/>
    </row>
    <row r="420">
      <c r="A420" s="12"/>
      <c r="B420" s="12"/>
      <c r="C420" s="103"/>
    </row>
    <row r="421">
      <c r="A421" s="12"/>
      <c r="B421" s="12"/>
      <c r="C421" s="103"/>
    </row>
    <row r="422">
      <c r="A422" s="12"/>
      <c r="B422" s="12"/>
      <c r="C422" s="103"/>
    </row>
    <row r="423">
      <c r="A423" s="12"/>
      <c r="B423" s="12"/>
      <c r="C423" s="103"/>
    </row>
    <row r="424">
      <c r="A424" s="12"/>
      <c r="B424" s="12"/>
      <c r="C424" s="103"/>
    </row>
    <row r="425">
      <c r="A425" s="12"/>
      <c r="B425" s="12"/>
      <c r="C425" s="103"/>
    </row>
    <row r="426">
      <c r="A426" s="12"/>
      <c r="B426" s="12"/>
      <c r="C426" s="103"/>
    </row>
    <row r="427">
      <c r="A427" s="12"/>
      <c r="B427" s="12"/>
      <c r="C427" s="103"/>
    </row>
    <row r="428">
      <c r="A428" s="12"/>
      <c r="B428" s="12"/>
      <c r="C428" s="103"/>
    </row>
    <row r="429">
      <c r="A429" s="12"/>
      <c r="B429" s="12"/>
      <c r="C429" s="103"/>
    </row>
    <row r="430">
      <c r="A430" s="12"/>
      <c r="B430" s="12"/>
      <c r="C430" s="103"/>
    </row>
    <row r="431">
      <c r="A431" s="12"/>
      <c r="B431" s="12"/>
      <c r="C431" s="103"/>
    </row>
    <row r="432">
      <c r="A432" s="12"/>
      <c r="B432" s="12"/>
      <c r="C432" s="103"/>
    </row>
    <row r="433">
      <c r="A433" s="12"/>
      <c r="B433" s="12"/>
      <c r="C433" s="103"/>
    </row>
    <row r="434">
      <c r="A434" s="12"/>
      <c r="B434" s="12"/>
      <c r="C434" s="103"/>
    </row>
    <row r="435">
      <c r="A435" s="12"/>
      <c r="B435" s="12"/>
      <c r="C435" s="103"/>
    </row>
    <row r="436">
      <c r="A436" s="12"/>
      <c r="B436" s="12"/>
      <c r="C436" s="103"/>
    </row>
    <row r="437">
      <c r="A437" s="12"/>
      <c r="B437" s="12"/>
      <c r="C437" s="103"/>
    </row>
    <row r="438">
      <c r="A438" s="12"/>
      <c r="B438" s="12"/>
      <c r="C438" s="103"/>
    </row>
    <row r="439">
      <c r="A439" s="12"/>
      <c r="B439" s="12"/>
      <c r="C439" s="103"/>
    </row>
    <row r="440">
      <c r="A440" s="12"/>
      <c r="B440" s="12"/>
      <c r="C440" s="103"/>
    </row>
    <row r="441">
      <c r="A441" s="12"/>
      <c r="B441" s="12"/>
      <c r="C441" s="103"/>
    </row>
    <row r="442">
      <c r="A442" s="12"/>
      <c r="B442" s="12"/>
      <c r="C442" s="103"/>
    </row>
    <row r="443">
      <c r="A443" s="12"/>
      <c r="B443" s="12"/>
      <c r="C443" s="103"/>
    </row>
    <row r="444">
      <c r="A444" s="12"/>
      <c r="B444" s="12"/>
      <c r="C444" s="103"/>
    </row>
    <row r="445">
      <c r="A445" s="12"/>
      <c r="B445" s="12"/>
      <c r="C445" s="103"/>
    </row>
    <row r="446">
      <c r="A446" s="12"/>
      <c r="B446" s="12"/>
      <c r="C446" s="103"/>
    </row>
    <row r="447">
      <c r="A447" s="12"/>
      <c r="B447" s="12"/>
      <c r="C447" s="103"/>
    </row>
    <row r="448">
      <c r="A448" s="12"/>
      <c r="B448" s="12"/>
      <c r="C448" s="103"/>
    </row>
    <row r="449">
      <c r="A449" s="12"/>
      <c r="B449" s="12"/>
      <c r="C449" s="103"/>
    </row>
    <row r="450">
      <c r="A450" s="12"/>
      <c r="B450" s="12"/>
      <c r="C450" s="103"/>
    </row>
    <row r="451">
      <c r="A451" s="12"/>
      <c r="B451" s="12"/>
      <c r="C451" s="103"/>
    </row>
    <row r="452">
      <c r="A452" s="12"/>
      <c r="B452" s="12"/>
      <c r="C452" s="103"/>
    </row>
    <row r="453">
      <c r="A453" s="12"/>
      <c r="B453" s="12"/>
      <c r="C453" s="103"/>
    </row>
    <row r="454">
      <c r="A454" s="12"/>
      <c r="B454" s="12"/>
      <c r="C454" s="103"/>
    </row>
    <row r="455">
      <c r="A455" s="12"/>
      <c r="B455" s="12"/>
      <c r="C455" s="103"/>
    </row>
    <row r="456">
      <c r="A456" s="12"/>
      <c r="B456" s="12"/>
      <c r="C456" s="103"/>
    </row>
    <row r="457">
      <c r="A457" s="12"/>
      <c r="B457" s="12"/>
      <c r="C457" s="103"/>
    </row>
    <row r="458">
      <c r="A458" s="12"/>
      <c r="B458" s="12"/>
      <c r="C458" s="103"/>
    </row>
    <row r="459">
      <c r="A459" s="12"/>
      <c r="B459" s="12"/>
      <c r="C459" s="103"/>
    </row>
    <row r="460">
      <c r="A460" s="12"/>
      <c r="B460" s="12"/>
      <c r="C460" s="103"/>
    </row>
    <row r="461">
      <c r="A461" s="12"/>
      <c r="B461" s="12"/>
      <c r="C461" s="103"/>
    </row>
    <row r="462">
      <c r="A462" s="12"/>
      <c r="B462" s="12"/>
      <c r="C462" s="103"/>
    </row>
    <row r="463">
      <c r="A463" s="12"/>
      <c r="B463" s="12"/>
      <c r="C463" s="103"/>
    </row>
    <row r="464">
      <c r="A464" s="12"/>
      <c r="B464" s="12"/>
      <c r="C464" s="103"/>
    </row>
    <row r="465">
      <c r="A465" s="12"/>
      <c r="B465" s="12"/>
      <c r="C465" s="103"/>
    </row>
    <row r="466">
      <c r="A466" s="12"/>
      <c r="B466" s="12"/>
      <c r="C466" s="103"/>
    </row>
    <row r="467">
      <c r="A467" s="12"/>
      <c r="B467" s="12"/>
      <c r="C467" s="103"/>
    </row>
    <row r="468">
      <c r="A468" s="12"/>
      <c r="B468" s="12"/>
      <c r="C468" s="103"/>
    </row>
    <row r="469">
      <c r="A469" s="12"/>
      <c r="B469" s="12"/>
      <c r="C469" s="103"/>
    </row>
    <row r="470">
      <c r="A470" s="12"/>
      <c r="B470" s="12"/>
      <c r="C470" s="103"/>
    </row>
    <row r="471">
      <c r="A471" s="12"/>
      <c r="B471" s="12"/>
      <c r="C471" s="103"/>
    </row>
    <row r="472">
      <c r="A472" s="12"/>
      <c r="B472" s="12"/>
      <c r="C472" s="103"/>
    </row>
    <row r="473">
      <c r="A473" s="12"/>
      <c r="B473" s="12"/>
      <c r="C473" s="103"/>
    </row>
    <row r="474">
      <c r="A474" s="12"/>
      <c r="B474" s="12"/>
      <c r="C474" s="103"/>
    </row>
    <row r="475">
      <c r="A475" s="12"/>
      <c r="B475" s="12"/>
      <c r="C475" s="103"/>
    </row>
    <row r="476">
      <c r="A476" s="12"/>
      <c r="B476" s="12"/>
      <c r="C476" s="103"/>
    </row>
    <row r="477">
      <c r="A477" s="12"/>
      <c r="B477" s="12"/>
      <c r="C477" s="103"/>
    </row>
    <row r="478">
      <c r="A478" s="12"/>
      <c r="B478" s="12"/>
      <c r="C478" s="103"/>
    </row>
    <row r="479">
      <c r="A479" s="12"/>
      <c r="B479" s="12"/>
      <c r="C479" s="103"/>
    </row>
    <row r="480">
      <c r="A480" s="12"/>
      <c r="B480" s="12"/>
      <c r="C480" s="103"/>
    </row>
    <row r="481">
      <c r="A481" s="12"/>
      <c r="B481" s="12"/>
      <c r="C481" s="103"/>
    </row>
    <row r="482">
      <c r="A482" s="12"/>
      <c r="B482" s="12"/>
      <c r="C482" s="103"/>
    </row>
    <row r="483">
      <c r="A483" s="12"/>
      <c r="B483" s="12"/>
      <c r="C483" s="103"/>
    </row>
    <row r="484">
      <c r="A484" s="12"/>
      <c r="B484" s="12"/>
      <c r="C484" s="103"/>
    </row>
    <row r="485">
      <c r="A485" s="12"/>
      <c r="B485" s="12"/>
      <c r="C485" s="103"/>
    </row>
    <row r="486">
      <c r="A486" s="12"/>
      <c r="B486" s="12"/>
      <c r="C486" s="103"/>
    </row>
    <row r="487">
      <c r="A487" s="12"/>
      <c r="B487" s="12"/>
      <c r="C487" s="103"/>
    </row>
    <row r="488">
      <c r="A488" s="12"/>
      <c r="B488" s="12"/>
      <c r="C488" s="103"/>
    </row>
    <row r="489">
      <c r="A489" s="12"/>
      <c r="B489" s="12"/>
      <c r="C489" s="103"/>
    </row>
    <row r="490">
      <c r="A490" s="12"/>
      <c r="B490" s="12"/>
      <c r="C490" s="103"/>
    </row>
    <row r="491">
      <c r="A491" s="12"/>
      <c r="B491" s="12"/>
      <c r="C491" s="103"/>
    </row>
    <row r="492">
      <c r="A492" s="12"/>
      <c r="B492" s="12"/>
      <c r="C492" s="103"/>
    </row>
    <row r="493">
      <c r="A493" s="12"/>
      <c r="B493" s="12"/>
      <c r="C493" s="103"/>
    </row>
    <row r="494">
      <c r="A494" s="12"/>
      <c r="B494" s="12"/>
      <c r="C494" s="103"/>
    </row>
    <row r="495">
      <c r="A495" s="12"/>
      <c r="B495" s="12"/>
      <c r="C495" s="103"/>
    </row>
    <row r="496">
      <c r="A496" s="12"/>
      <c r="B496" s="12"/>
      <c r="C496" s="103"/>
    </row>
    <row r="497">
      <c r="A497" s="12"/>
      <c r="B497" s="12"/>
      <c r="C497" s="103"/>
    </row>
    <row r="498">
      <c r="A498" s="12"/>
      <c r="B498" s="12"/>
      <c r="C498" s="103"/>
    </row>
    <row r="499">
      <c r="A499" s="12"/>
      <c r="B499" s="12"/>
      <c r="C499" s="103"/>
    </row>
    <row r="500">
      <c r="A500" s="12"/>
      <c r="B500" s="12"/>
      <c r="C500" s="103"/>
    </row>
    <row r="501">
      <c r="A501" s="12"/>
      <c r="B501" s="12"/>
      <c r="C501" s="103"/>
    </row>
    <row r="502">
      <c r="A502" s="12"/>
      <c r="B502" s="12"/>
      <c r="C502" s="103"/>
    </row>
    <row r="503">
      <c r="A503" s="12"/>
      <c r="B503" s="12"/>
      <c r="C503" s="103"/>
    </row>
    <row r="504">
      <c r="A504" s="12"/>
      <c r="B504" s="12"/>
      <c r="C504" s="103"/>
    </row>
    <row r="505">
      <c r="A505" s="12"/>
      <c r="B505" s="12"/>
      <c r="C505" s="103"/>
    </row>
    <row r="506">
      <c r="A506" s="12"/>
      <c r="B506" s="12"/>
      <c r="C506" s="103"/>
    </row>
    <row r="507">
      <c r="A507" s="12"/>
      <c r="B507" s="12"/>
      <c r="C507" s="103"/>
    </row>
    <row r="508">
      <c r="A508" s="12"/>
      <c r="B508" s="12"/>
      <c r="C508" s="103"/>
    </row>
    <row r="509">
      <c r="A509" s="12"/>
      <c r="B509" s="12"/>
      <c r="C509" s="103"/>
    </row>
    <row r="510">
      <c r="A510" s="12"/>
      <c r="B510" s="12"/>
      <c r="C510" s="103"/>
    </row>
    <row r="511">
      <c r="A511" s="12"/>
      <c r="B511" s="12"/>
      <c r="C511" s="103"/>
    </row>
    <row r="512">
      <c r="A512" s="12"/>
      <c r="B512" s="12"/>
      <c r="C512" s="103"/>
    </row>
    <row r="513">
      <c r="A513" s="12"/>
      <c r="B513" s="12"/>
      <c r="C513" s="103"/>
    </row>
    <row r="514">
      <c r="A514" s="12"/>
      <c r="B514" s="12"/>
      <c r="C514" s="103"/>
    </row>
    <row r="515">
      <c r="A515" s="12"/>
      <c r="B515" s="12"/>
      <c r="C515" s="103"/>
    </row>
    <row r="516">
      <c r="A516" s="12"/>
      <c r="B516" s="12"/>
      <c r="C516" s="103"/>
    </row>
    <row r="517">
      <c r="A517" s="12"/>
      <c r="B517" s="12"/>
      <c r="C517" s="103"/>
    </row>
    <row r="518">
      <c r="A518" s="12"/>
      <c r="B518" s="12"/>
      <c r="C518" s="103"/>
    </row>
    <row r="519">
      <c r="A519" s="12"/>
      <c r="B519" s="12"/>
      <c r="C519" s="103"/>
    </row>
    <row r="520">
      <c r="A520" s="12"/>
      <c r="B520" s="12"/>
      <c r="C520" s="103"/>
    </row>
    <row r="521">
      <c r="A521" s="12"/>
      <c r="B521" s="12"/>
      <c r="C521" s="103"/>
    </row>
    <row r="522">
      <c r="A522" s="12"/>
      <c r="B522" s="12"/>
      <c r="C522" s="103"/>
    </row>
    <row r="523">
      <c r="A523" s="12"/>
      <c r="B523" s="12"/>
      <c r="C523" s="103"/>
    </row>
    <row r="524">
      <c r="A524" s="12"/>
      <c r="B524" s="12"/>
      <c r="C524" s="103"/>
    </row>
    <row r="525">
      <c r="A525" s="12"/>
      <c r="B525" s="12"/>
      <c r="C525" s="103"/>
    </row>
    <row r="526">
      <c r="A526" s="12"/>
      <c r="B526" s="12"/>
      <c r="C526" s="103"/>
    </row>
    <row r="527">
      <c r="A527" s="12"/>
      <c r="B527" s="12"/>
      <c r="C527" s="103"/>
    </row>
    <row r="528">
      <c r="A528" s="12"/>
      <c r="B528" s="12"/>
      <c r="C528" s="103"/>
    </row>
    <row r="529">
      <c r="A529" s="12"/>
      <c r="B529" s="12"/>
      <c r="C529" s="103"/>
    </row>
    <row r="530">
      <c r="A530" s="12"/>
      <c r="B530" s="12"/>
      <c r="C530" s="103"/>
    </row>
    <row r="531">
      <c r="A531" s="12"/>
      <c r="B531" s="12"/>
      <c r="C531" s="103"/>
    </row>
    <row r="532">
      <c r="A532" s="12"/>
      <c r="B532" s="12"/>
      <c r="C532" s="103"/>
    </row>
    <row r="533">
      <c r="A533" s="12"/>
      <c r="B533" s="12"/>
      <c r="C533" s="103"/>
    </row>
    <row r="534">
      <c r="A534" s="12"/>
      <c r="B534" s="12"/>
      <c r="C534" s="103"/>
    </row>
    <row r="535">
      <c r="A535" s="12"/>
      <c r="B535" s="12"/>
      <c r="C535" s="103"/>
    </row>
    <row r="536">
      <c r="A536" s="12"/>
      <c r="B536" s="12"/>
      <c r="C536" s="103"/>
    </row>
    <row r="537">
      <c r="A537" s="12"/>
      <c r="B537" s="12"/>
      <c r="C537" s="103"/>
    </row>
    <row r="538">
      <c r="A538" s="12"/>
      <c r="B538" s="12"/>
      <c r="C538" s="103"/>
    </row>
    <row r="539">
      <c r="A539" s="12"/>
      <c r="B539" s="12"/>
      <c r="C539" s="103"/>
    </row>
    <row r="540">
      <c r="A540" s="12"/>
      <c r="B540" s="12"/>
      <c r="C540" s="103"/>
    </row>
    <row r="541">
      <c r="A541" s="12"/>
      <c r="B541" s="12"/>
      <c r="C541" s="103"/>
    </row>
    <row r="542">
      <c r="A542" s="12"/>
      <c r="B542" s="12"/>
      <c r="C542" s="103"/>
    </row>
    <row r="543">
      <c r="A543" s="12"/>
      <c r="B543" s="12"/>
      <c r="C543" s="103"/>
    </row>
    <row r="544">
      <c r="A544" s="12"/>
      <c r="B544" s="12"/>
      <c r="C544" s="103"/>
    </row>
    <row r="545">
      <c r="A545" s="12"/>
      <c r="B545" s="12"/>
      <c r="C545" s="103"/>
    </row>
    <row r="546">
      <c r="A546" s="12"/>
      <c r="B546" s="12"/>
      <c r="C546" s="103"/>
    </row>
    <row r="547">
      <c r="A547" s="12"/>
      <c r="B547" s="12"/>
      <c r="C547" s="103"/>
    </row>
    <row r="548">
      <c r="A548" s="12"/>
      <c r="B548" s="12"/>
      <c r="C548" s="103"/>
    </row>
    <row r="549">
      <c r="A549" s="12"/>
      <c r="B549" s="12"/>
      <c r="C549" s="103"/>
    </row>
    <row r="550">
      <c r="A550" s="12"/>
      <c r="B550" s="12"/>
      <c r="C550" s="103"/>
    </row>
    <row r="551">
      <c r="A551" s="12"/>
      <c r="B551" s="12"/>
      <c r="C551" s="103"/>
    </row>
    <row r="552">
      <c r="A552" s="12"/>
      <c r="B552" s="12"/>
      <c r="C552" s="103"/>
    </row>
    <row r="553">
      <c r="A553" s="12"/>
      <c r="B553" s="12"/>
      <c r="C553" s="103"/>
    </row>
    <row r="554">
      <c r="A554" s="12"/>
      <c r="B554" s="12"/>
      <c r="C554" s="103"/>
    </row>
    <row r="555">
      <c r="A555" s="12"/>
      <c r="B555" s="12"/>
      <c r="C555" s="103"/>
    </row>
    <row r="556">
      <c r="A556" s="12"/>
      <c r="B556" s="12"/>
      <c r="C556" s="103"/>
    </row>
    <row r="557">
      <c r="A557" s="12"/>
      <c r="B557" s="12"/>
      <c r="C557" s="103"/>
    </row>
    <row r="558">
      <c r="A558" s="12"/>
      <c r="B558" s="12"/>
      <c r="C558" s="103"/>
    </row>
    <row r="559">
      <c r="A559" s="12"/>
      <c r="B559" s="12"/>
      <c r="C559" s="103"/>
    </row>
    <row r="560">
      <c r="A560" s="12"/>
      <c r="B560" s="12"/>
      <c r="C560" s="103"/>
    </row>
    <row r="561">
      <c r="A561" s="12"/>
      <c r="B561" s="12"/>
      <c r="C561" s="103"/>
    </row>
    <row r="562">
      <c r="A562" s="12"/>
      <c r="B562" s="12"/>
      <c r="C562" s="103"/>
    </row>
    <row r="563">
      <c r="A563" s="12"/>
      <c r="B563" s="12"/>
      <c r="C563" s="103"/>
    </row>
    <row r="564">
      <c r="A564" s="12"/>
      <c r="B564" s="12"/>
      <c r="C564" s="103"/>
    </row>
    <row r="565">
      <c r="A565" s="12"/>
      <c r="B565" s="12"/>
      <c r="C565" s="103"/>
    </row>
    <row r="566">
      <c r="A566" s="12"/>
      <c r="B566" s="12"/>
      <c r="C566" s="103"/>
    </row>
    <row r="567">
      <c r="A567" s="12"/>
      <c r="B567" s="12"/>
      <c r="C567" s="103"/>
    </row>
    <row r="568">
      <c r="A568" s="12"/>
      <c r="B568" s="12"/>
      <c r="C568" s="103"/>
    </row>
    <row r="569">
      <c r="A569" s="12"/>
      <c r="B569" s="12"/>
      <c r="C569" s="103"/>
    </row>
    <row r="570">
      <c r="A570" s="12"/>
      <c r="B570" s="12"/>
      <c r="C570" s="103"/>
    </row>
    <row r="571">
      <c r="A571" s="12"/>
      <c r="B571" s="12"/>
      <c r="C571" s="103"/>
    </row>
    <row r="572">
      <c r="A572" s="12"/>
      <c r="B572" s="12"/>
      <c r="C572" s="103"/>
    </row>
    <row r="573">
      <c r="A573" s="12"/>
      <c r="B573" s="12"/>
      <c r="C573" s="103"/>
    </row>
    <row r="574">
      <c r="A574" s="12"/>
      <c r="B574" s="12"/>
      <c r="C574" s="103"/>
    </row>
    <row r="575">
      <c r="A575" s="12"/>
      <c r="B575" s="12"/>
      <c r="C575" s="103"/>
    </row>
    <row r="576">
      <c r="A576" s="12"/>
      <c r="B576" s="12"/>
      <c r="C576" s="103"/>
    </row>
    <row r="577">
      <c r="A577" s="12"/>
      <c r="B577" s="12"/>
      <c r="C577" s="103"/>
    </row>
    <row r="578">
      <c r="A578" s="12"/>
      <c r="B578" s="12"/>
      <c r="C578" s="103"/>
    </row>
    <row r="579">
      <c r="A579" s="12"/>
      <c r="B579" s="12"/>
      <c r="C579" s="103"/>
    </row>
    <row r="580">
      <c r="A580" s="12"/>
      <c r="B580" s="12"/>
      <c r="C580" s="103"/>
    </row>
    <row r="581">
      <c r="A581" s="12"/>
      <c r="B581" s="12"/>
      <c r="C581" s="103"/>
    </row>
    <row r="582">
      <c r="A582" s="12"/>
      <c r="B582" s="12"/>
      <c r="C582" s="103"/>
    </row>
    <row r="583">
      <c r="A583" s="12"/>
      <c r="B583" s="12"/>
      <c r="C583" s="103"/>
    </row>
    <row r="584">
      <c r="A584" s="12"/>
      <c r="B584" s="12"/>
      <c r="C584" s="103"/>
    </row>
    <row r="585">
      <c r="A585" s="12"/>
      <c r="B585" s="12"/>
      <c r="C585" s="103"/>
    </row>
    <row r="586">
      <c r="A586" s="12"/>
      <c r="B586" s="12"/>
      <c r="C586" s="103"/>
    </row>
    <row r="587">
      <c r="A587" s="12"/>
      <c r="B587" s="12"/>
      <c r="C587" s="103"/>
    </row>
    <row r="588">
      <c r="A588" s="12"/>
      <c r="B588" s="12"/>
      <c r="C588" s="103"/>
    </row>
    <row r="589">
      <c r="A589" s="12"/>
      <c r="B589" s="12"/>
      <c r="C589" s="103"/>
    </row>
    <row r="590">
      <c r="A590" s="12"/>
      <c r="B590" s="12"/>
      <c r="C590" s="103"/>
    </row>
    <row r="591">
      <c r="A591" s="12"/>
      <c r="B591" s="12"/>
      <c r="C591" s="103"/>
    </row>
    <row r="592">
      <c r="A592" s="12"/>
      <c r="B592" s="12"/>
      <c r="C592" s="103"/>
    </row>
    <row r="593">
      <c r="A593" s="12"/>
      <c r="B593" s="12"/>
      <c r="C593" s="103"/>
    </row>
    <row r="594">
      <c r="A594" s="12"/>
      <c r="B594" s="12"/>
      <c r="C594" s="103"/>
    </row>
    <row r="595">
      <c r="A595" s="12"/>
      <c r="B595" s="12"/>
      <c r="C595" s="103"/>
    </row>
    <row r="596">
      <c r="A596" s="12"/>
      <c r="B596" s="12"/>
      <c r="C596" s="103"/>
    </row>
    <row r="597">
      <c r="A597" s="12"/>
      <c r="B597" s="12"/>
      <c r="C597" s="103"/>
    </row>
    <row r="598">
      <c r="A598" s="12"/>
      <c r="B598" s="12"/>
      <c r="C598" s="103"/>
    </row>
    <row r="599">
      <c r="A599" s="12"/>
      <c r="B599" s="12"/>
      <c r="C599" s="103"/>
    </row>
    <row r="600">
      <c r="A600" s="12"/>
      <c r="B600" s="12"/>
      <c r="C600" s="103"/>
    </row>
    <row r="601">
      <c r="A601" s="12"/>
      <c r="B601" s="12"/>
      <c r="C601" s="103"/>
    </row>
    <row r="602">
      <c r="A602" s="12"/>
      <c r="B602" s="12"/>
      <c r="C602" s="103"/>
    </row>
    <row r="603">
      <c r="A603" s="12"/>
      <c r="B603" s="12"/>
      <c r="C603" s="103"/>
    </row>
    <row r="604">
      <c r="A604" s="12"/>
      <c r="B604" s="12"/>
      <c r="C604" s="103"/>
    </row>
    <row r="605">
      <c r="A605" s="12"/>
      <c r="B605" s="12"/>
      <c r="C605" s="103"/>
    </row>
    <row r="606">
      <c r="A606" s="12"/>
      <c r="B606" s="12"/>
      <c r="C606" s="103"/>
    </row>
    <row r="607">
      <c r="A607" s="12"/>
      <c r="B607" s="12"/>
      <c r="C607" s="103"/>
    </row>
    <row r="608">
      <c r="A608" s="12"/>
      <c r="B608" s="12"/>
      <c r="C608" s="103"/>
    </row>
    <row r="609">
      <c r="A609" s="12"/>
      <c r="B609" s="12"/>
      <c r="C609" s="103"/>
    </row>
    <row r="610">
      <c r="A610" s="12"/>
      <c r="B610" s="12"/>
      <c r="C610" s="103"/>
    </row>
    <row r="611">
      <c r="A611" s="12"/>
      <c r="B611" s="12"/>
      <c r="C611" s="103"/>
    </row>
    <row r="612">
      <c r="A612" s="12"/>
      <c r="B612" s="12"/>
      <c r="C612" s="103"/>
    </row>
    <row r="613">
      <c r="A613" s="12"/>
      <c r="B613" s="12"/>
      <c r="C613" s="103"/>
    </row>
    <row r="614">
      <c r="A614" s="12"/>
      <c r="B614" s="12"/>
      <c r="C614" s="103"/>
    </row>
    <row r="615">
      <c r="A615" s="12"/>
      <c r="B615" s="12"/>
      <c r="C615" s="103"/>
    </row>
    <row r="616">
      <c r="A616" s="12"/>
      <c r="B616" s="12"/>
      <c r="C616" s="103"/>
    </row>
    <row r="617">
      <c r="A617" s="12"/>
      <c r="B617" s="12"/>
      <c r="C617" s="103"/>
    </row>
    <row r="618">
      <c r="A618" s="12"/>
      <c r="B618" s="12"/>
      <c r="C618" s="103"/>
    </row>
    <row r="619">
      <c r="A619" s="12"/>
      <c r="B619" s="12"/>
      <c r="C619" s="103"/>
    </row>
    <row r="620">
      <c r="A620" s="12"/>
      <c r="B620" s="12"/>
      <c r="C620" s="103"/>
    </row>
    <row r="621">
      <c r="A621" s="12"/>
      <c r="B621" s="12"/>
      <c r="C621" s="103"/>
    </row>
    <row r="622">
      <c r="A622" s="12"/>
      <c r="B622" s="12"/>
      <c r="C622" s="103"/>
    </row>
    <row r="623">
      <c r="A623" s="12"/>
      <c r="B623" s="12"/>
      <c r="C623" s="103"/>
    </row>
    <row r="624">
      <c r="A624" s="12"/>
      <c r="B624" s="12"/>
      <c r="C624" s="103"/>
    </row>
    <row r="625">
      <c r="A625" s="12"/>
      <c r="B625" s="12"/>
      <c r="C625" s="103"/>
    </row>
    <row r="626">
      <c r="A626" s="12"/>
      <c r="B626" s="12"/>
      <c r="C626" s="103"/>
    </row>
    <row r="627">
      <c r="A627" s="12"/>
      <c r="B627" s="12"/>
      <c r="C627" s="103"/>
    </row>
    <row r="628">
      <c r="A628" s="12"/>
      <c r="B628" s="12"/>
      <c r="C628" s="103"/>
    </row>
    <row r="629">
      <c r="A629" s="12"/>
      <c r="B629" s="12"/>
      <c r="C629" s="103"/>
    </row>
    <row r="630">
      <c r="A630" s="12"/>
      <c r="B630" s="12"/>
      <c r="C630" s="103"/>
    </row>
    <row r="631">
      <c r="A631" s="12"/>
      <c r="B631" s="12"/>
      <c r="C631" s="103"/>
    </row>
    <row r="632">
      <c r="A632" s="12"/>
      <c r="B632" s="12"/>
      <c r="C632" s="103"/>
    </row>
    <row r="633">
      <c r="A633" s="12"/>
      <c r="B633" s="12"/>
      <c r="C633" s="103"/>
    </row>
    <row r="634">
      <c r="A634" s="12"/>
      <c r="B634" s="12"/>
      <c r="C634" s="103"/>
    </row>
    <row r="635">
      <c r="A635" s="12"/>
      <c r="B635" s="12"/>
      <c r="C635" s="103"/>
    </row>
    <row r="636">
      <c r="A636" s="12"/>
      <c r="B636" s="12"/>
      <c r="C636" s="103"/>
    </row>
    <row r="637">
      <c r="A637" s="12"/>
      <c r="B637" s="12"/>
      <c r="C637" s="103"/>
    </row>
    <row r="638">
      <c r="A638" s="12"/>
      <c r="B638" s="12"/>
      <c r="C638" s="103"/>
    </row>
    <row r="639">
      <c r="A639" s="12"/>
      <c r="B639" s="12"/>
      <c r="C639" s="103"/>
    </row>
    <row r="640">
      <c r="A640" s="12"/>
      <c r="B640" s="12"/>
      <c r="C640" s="103"/>
    </row>
    <row r="641">
      <c r="A641" s="12"/>
      <c r="B641" s="12"/>
      <c r="C641" s="103"/>
    </row>
    <row r="642">
      <c r="A642" s="12"/>
      <c r="B642" s="12"/>
      <c r="C642" s="103"/>
    </row>
    <row r="643">
      <c r="A643" s="12"/>
      <c r="B643" s="12"/>
      <c r="C643" s="103"/>
    </row>
    <row r="644">
      <c r="A644" s="12"/>
      <c r="B644" s="12"/>
      <c r="C644" s="103"/>
    </row>
    <row r="645">
      <c r="A645" s="12"/>
      <c r="B645" s="12"/>
      <c r="C645" s="103"/>
    </row>
    <row r="646">
      <c r="A646" s="12"/>
      <c r="B646" s="12"/>
      <c r="C646" s="103"/>
    </row>
    <row r="647">
      <c r="A647" s="12"/>
      <c r="B647" s="12"/>
      <c r="C647" s="103"/>
    </row>
    <row r="648">
      <c r="A648" s="12"/>
      <c r="B648" s="12"/>
      <c r="C648" s="103"/>
    </row>
    <row r="649">
      <c r="A649" s="12"/>
      <c r="B649" s="12"/>
      <c r="C649" s="103"/>
    </row>
    <row r="650">
      <c r="A650" s="12"/>
      <c r="B650" s="12"/>
      <c r="C650" s="103"/>
    </row>
    <row r="651">
      <c r="A651" s="12"/>
      <c r="B651" s="12"/>
      <c r="C651" s="103"/>
    </row>
    <row r="652">
      <c r="A652" s="12"/>
      <c r="B652" s="12"/>
      <c r="C652" s="103"/>
    </row>
    <row r="653">
      <c r="A653" s="12"/>
      <c r="B653" s="12"/>
      <c r="C653" s="103"/>
    </row>
    <row r="654">
      <c r="A654" s="12"/>
      <c r="B654" s="12"/>
      <c r="C654" s="103"/>
    </row>
    <row r="655">
      <c r="A655" s="12"/>
      <c r="B655" s="12"/>
      <c r="C655" s="103"/>
    </row>
    <row r="656">
      <c r="A656" s="12"/>
      <c r="B656" s="12"/>
      <c r="C656" s="103"/>
    </row>
    <row r="657">
      <c r="A657" s="12"/>
      <c r="B657" s="12"/>
      <c r="C657" s="103"/>
    </row>
    <row r="658">
      <c r="A658" s="12"/>
      <c r="B658" s="12"/>
      <c r="C658" s="103"/>
    </row>
    <row r="659">
      <c r="A659" s="12"/>
      <c r="B659" s="12"/>
      <c r="C659" s="103"/>
    </row>
    <row r="660">
      <c r="A660" s="12"/>
      <c r="B660" s="12"/>
      <c r="C660" s="103"/>
    </row>
    <row r="661">
      <c r="A661" s="12"/>
      <c r="B661" s="12"/>
      <c r="C661" s="103"/>
    </row>
    <row r="662">
      <c r="A662" s="12"/>
      <c r="B662" s="12"/>
      <c r="C662" s="103"/>
    </row>
    <row r="663">
      <c r="A663" s="12"/>
      <c r="B663" s="12"/>
      <c r="C663" s="103"/>
    </row>
    <row r="664">
      <c r="A664" s="12"/>
      <c r="B664" s="12"/>
      <c r="C664" s="103"/>
    </row>
    <row r="665">
      <c r="A665" s="12"/>
      <c r="B665" s="12"/>
      <c r="C665" s="103"/>
    </row>
    <row r="666">
      <c r="A666" s="12"/>
      <c r="B666" s="12"/>
      <c r="C666" s="103"/>
    </row>
    <row r="667">
      <c r="A667" s="12"/>
      <c r="B667" s="12"/>
      <c r="C667" s="103"/>
    </row>
    <row r="668">
      <c r="A668" s="12"/>
      <c r="B668" s="12"/>
      <c r="C668" s="103"/>
    </row>
    <row r="669">
      <c r="A669" s="12"/>
      <c r="B669" s="12"/>
      <c r="C669" s="103"/>
    </row>
    <row r="670">
      <c r="A670" s="12"/>
      <c r="B670" s="12"/>
      <c r="C670" s="103"/>
    </row>
    <row r="671">
      <c r="A671" s="12"/>
      <c r="B671" s="12"/>
      <c r="C671" s="103"/>
    </row>
    <row r="672">
      <c r="A672" s="12"/>
      <c r="B672" s="12"/>
      <c r="C672" s="103"/>
    </row>
    <row r="673">
      <c r="A673" s="12"/>
      <c r="B673" s="12"/>
      <c r="C673" s="103"/>
    </row>
    <row r="674">
      <c r="A674" s="12"/>
      <c r="B674" s="12"/>
      <c r="C674" s="103"/>
    </row>
    <row r="675">
      <c r="A675" s="12"/>
      <c r="B675" s="12"/>
      <c r="C675" s="103"/>
    </row>
    <row r="676">
      <c r="A676" s="12"/>
      <c r="B676" s="12"/>
      <c r="C676" s="103"/>
    </row>
    <row r="677">
      <c r="A677" s="12"/>
      <c r="B677" s="12"/>
      <c r="C677" s="103"/>
    </row>
    <row r="678">
      <c r="A678" s="12"/>
      <c r="B678" s="12"/>
      <c r="C678" s="103"/>
    </row>
    <row r="679">
      <c r="A679" s="12"/>
      <c r="B679" s="12"/>
      <c r="C679" s="103"/>
    </row>
    <row r="680">
      <c r="A680" s="12"/>
      <c r="B680" s="12"/>
      <c r="C680" s="103"/>
    </row>
    <row r="681">
      <c r="A681" s="12"/>
      <c r="B681" s="12"/>
      <c r="C681" s="103"/>
    </row>
    <row r="682">
      <c r="A682" s="12"/>
      <c r="B682" s="12"/>
      <c r="C682" s="103"/>
    </row>
    <row r="683">
      <c r="A683" s="12"/>
      <c r="B683" s="12"/>
      <c r="C683" s="103"/>
    </row>
    <row r="684">
      <c r="A684" s="12"/>
      <c r="B684" s="12"/>
      <c r="C684" s="103"/>
    </row>
    <row r="685">
      <c r="A685" s="12"/>
      <c r="B685" s="12"/>
      <c r="C685" s="103"/>
    </row>
    <row r="686">
      <c r="A686" s="12"/>
      <c r="B686" s="12"/>
      <c r="C686" s="103"/>
    </row>
    <row r="687">
      <c r="A687" s="12"/>
      <c r="B687" s="12"/>
      <c r="C687" s="103"/>
    </row>
    <row r="688">
      <c r="A688" s="12"/>
      <c r="B688" s="12"/>
      <c r="C688" s="103"/>
    </row>
    <row r="689">
      <c r="A689" s="12"/>
      <c r="B689" s="12"/>
      <c r="C689" s="103"/>
    </row>
    <row r="690">
      <c r="A690" s="12"/>
      <c r="B690" s="12"/>
      <c r="C690" s="103"/>
    </row>
    <row r="691">
      <c r="A691" s="12"/>
      <c r="B691" s="12"/>
      <c r="C691" s="103"/>
    </row>
    <row r="692">
      <c r="A692" s="12"/>
      <c r="B692" s="12"/>
      <c r="C692" s="103"/>
    </row>
    <row r="693">
      <c r="A693" s="12"/>
      <c r="B693" s="12"/>
      <c r="C693" s="103"/>
    </row>
    <row r="694">
      <c r="A694" s="12"/>
      <c r="B694" s="12"/>
      <c r="C694" s="103"/>
    </row>
    <row r="695">
      <c r="A695" s="12"/>
      <c r="B695" s="12"/>
      <c r="C695" s="103"/>
    </row>
    <row r="696">
      <c r="A696" s="12"/>
      <c r="B696" s="12"/>
      <c r="C696" s="103"/>
    </row>
    <row r="697">
      <c r="A697" s="12"/>
      <c r="B697" s="12"/>
      <c r="C697" s="103"/>
    </row>
    <row r="698">
      <c r="A698" s="12"/>
      <c r="B698" s="12"/>
      <c r="C698" s="103"/>
    </row>
    <row r="699">
      <c r="A699" s="12"/>
      <c r="B699" s="12"/>
      <c r="C699" s="103"/>
    </row>
    <row r="700">
      <c r="A700" s="12"/>
      <c r="B700" s="12"/>
      <c r="C700" s="103"/>
    </row>
    <row r="701">
      <c r="A701" s="12"/>
      <c r="B701" s="12"/>
      <c r="C701" s="103"/>
    </row>
    <row r="702">
      <c r="A702" s="12"/>
      <c r="B702" s="12"/>
      <c r="C702" s="103"/>
    </row>
    <row r="703">
      <c r="A703" s="12"/>
      <c r="B703" s="12"/>
      <c r="C703" s="103"/>
    </row>
    <row r="704">
      <c r="A704" s="12"/>
      <c r="B704" s="12"/>
      <c r="C704" s="103"/>
    </row>
    <row r="705">
      <c r="A705" s="12"/>
      <c r="B705" s="12"/>
      <c r="C705" s="103"/>
    </row>
    <row r="706">
      <c r="A706" s="12"/>
      <c r="B706" s="12"/>
      <c r="C706" s="103"/>
    </row>
    <row r="707">
      <c r="A707" s="12"/>
      <c r="B707" s="12"/>
      <c r="C707" s="103"/>
    </row>
    <row r="708">
      <c r="A708" s="12"/>
      <c r="B708" s="12"/>
      <c r="C708" s="103"/>
    </row>
    <row r="709">
      <c r="A709" s="12"/>
      <c r="B709" s="12"/>
      <c r="C709" s="103"/>
    </row>
    <row r="710">
      <c r="A710" s="12"/>
      <c r="B710" s="12"/>
      <c r="C710" s="103"/>
    </row>
    <row r="711">
      <c r="A711" s="12"/>
      <c r="B711" s="12"/>
      <c r="C711" s="103"/>
    </row>
    <row r="712">
      <c r="A712" s="12"/>
      <c r="B712" s="12"/>
      <c r="C712" s="103"/>
    </row>
    <row r="713">
      <c r="A713" s="12"/>
      <c r="B713" s="12"/>
      <c r="C713" s="103"/>
    </row>
    <row r="714">
      <c r="A714" s="12"/>
      <c r="B714" s="12"/>
      <c r="C714" s="103"/>
    </row>
    <row r="715">
      <c r="A715" s="12"/>
      <c r="B715" s="12"/>
      <c r="C715" s="103"/>
    </row>
    <row r="716">
      <c r="A716" s="12"/>
      <c r="B716" s="12"/>
      <c r="C716" s="103"/>
    </row>
    <row r="717">
      <c r="A717" s="12"/>
      <c r="B717" s="12"/>
      <c r="C717" s="103"/>
    </row>
    <row r="718">
      <c r="A718" s="12"/>
      <c r="B718" s="12"/>
      <c r="C718" s="103"/>
    </row>
    <row r="719">
      <c r="A719" s="12"/>
      <c r="B719" s="12"/>
      <c r="C719" s="103"/>
    </row>
    <row r="720">
      <c r="A720" s="12"/>
      <c r="B720" s="12"/>
      <c r="C720" s="103"/>
    </row>
    <row r="721">
      <c r="A721" s="12"/>
      <c r="B721" s="12"/>
      <c r="C721" s="103"/>
    </row>
    <row r="722">
      <c r="A722" s="12"/>
      <c r="B722" s="12"/>
      <c r="C722" s="103"/>
    </row>
    <row r="723">
      <c r="A723" s="12"/>
      <c r="B723" s="12"/>
      <c r="C723" s="103"/>
    </row>
    <row r="724">
      <c r="A724" s="12"/>
      <c r="B724" s="12"/>
      <c r="C724" s="103"/>
    </row>
    <row r="725">
      <c r="A725" s="12"/>
      <c r="B725" s="12"/>
      <c r="C725" s="103"/>
    </row>
    <row r="726">
      <c r="A726" s="12"/>
      <c r="B726" s="12"/>
      <c r="C726" s="103"/>
    </row>
    <row r="727">
      <c r="A727" s="12"/>
      <c r="B727" s="12"/>
      <c r="C727" s="103"/>
    </row>
    <row r="728">
      <c r="A728" s="12"/>
      <c r="B728" s="12"/>
      <c r="C728" s="103"/>
    </row>
    <row r="729">
      <c r="A729" s="12"/>
      <c r="B729" s="12"/>
      <c r="C729" s="103"/>
    </row>
    <row r="730">
      <c r="A730" s="12"/>
      <c r="B730" s="12"/>
      <c r="C730" s="103"/>
    </row>
    <row r="731">
      <c r="A731" s="12"/>
      <c r="B731" s="12"/>
      <c r="C731" s="103"/>
    </row>
    <row r="732">
      <c r="A732" s="12"/>
      <c r="B732" s="12"/>
      <c r="C732" s="103"/>
    </row>
    <row r="733">
      <c r="A733" s="12"/>
      <c r="B733" s="12"/>
      <c r="C733" s="103"/>
    </row>
    <row r="734">
      <c r="A734" s="12"/>
      <c r="B734" s="12"/>
      <c r="C734" s="103"/>
    </row>
    <row r="735">
      <c r="A735" s="12"/>
      <c r="B735" s="12"/>
      <c r="C735" s="103"/>
    </row>
    <row r="736">
      <c r="A736" s="12"/>
      <c r="B736" s="12"/>
      <c r="C736" s="103"/>
    </row>
    <row r="737">
      <c r="A737" s="12"/>
      <c r="B737" s="12"/>
      <c r="C737" s="103"/>
    </row>
    <row r="738">
      <c r="A738" s="12"/>
      <c r="B738" s="12"/>
      <c r="C738" s="103"/>
    </row>
    <row r="739">
      <c r="A739" s="12"/>
      <c r="B739" s="12"/>
      <c r="C739" s="103"/>
    </row>
    <row r="740">
      <c r="A740" s="12"/>
      <c r="B740" s="12"/>
      <c r="C740" s="103"/>
    </row>
    <row r="741">
      <c r="A741" s="12"/>
      <c r="B741" s="12"/>
      <c r="C741" s="103"/>
    </row>
    <row r="742">
      <c r="A742" s="12"/>
      <c r="B742" s="12"/>
      <c r="C742" s="103"/>
    </row>
    <row r="743">
      <c r="A743" s="12"/>
      <c r="B743" s="12"/>
      <c r="C743" s="103"/>
    </row>
    <row r="744">
      <c r="A744" s="12"/>
      <c r="B744" s="12"/>
      <c r="C744" s="103"/>
    </row>
    <row r="745">
      <c r="A745" s="12"/>
      <c r="B745" s="12"/>
      <c r="C745" s="103"/>
    </row>
    <row r="746">
      <c r="A746" s="12"/>
      <c r="B746" s="12"/>
      <c r="C746" s="103"/>
    </row>
    <row r="747">
      <c r="A747" s="12"/>
      <c r="B747" s="12"/>
      <c r="C747" s="103"/>
    </row>
    <row r="748">
      <c r="A748" s="12"/>
      <c r="B748" s="12"/>
      <c r="C748" s="103"/>
    </row>
    <row r="749">
      <c r="A749" s="12"/>
      <c r="B749" s="12"/>
      <c r="C749" s="103"/>
    </row>
    <row r="750">
      <c r="A750" s="12"/>
      <c r="B750" s="12"/>
      <c r="C750" s="103"/>
    </row>
    <row r="751">
      <c r="A751" s="12"/>
      <c r="B751" s="12"/>
      <c r="C751" s="103"/>
    </row>
    <row r="752">
      <c r="A752" s="12"/>
      <c r="B752" s="12"/>
      <c r="C752" s="103"/>
    </row>
    <row r="753">
      <c r="A753" s="12"/>
      <c r="B753" s="12"/>
      <c r="C753" s="103"/>
    </row>
    <row r="754">
      <c r="A754" s="12"/>
      <c r="B754" s="12"/>
      <c r="C754" s="103"/>
    </row>
    <row r="755">
      <c r="A755" s="12"/>
      <c r="B755" s="12"/>
      <c r="C755" s="103"/>
    </row>
    <row r="756">
      <c r="A756" s="12"/>
      <c r="B756" s="12"/>
      <c r="C756" s="103"/>
    </row>
    <row r="757">
      <c r="A757" s="12"/>
      <c r="B757" s="12"/>
      <c r="C757" s="103"/>
    </row>
    <row r="758">
      <c r="A758" s="12"/>
      <c r="B758" s="12"/>
      <c r="C758" s="103"/>
    </row>
    <row r="759">
      <c r="A759" s="12"/>
      <c r="B759" s="12"/>
      <c r="C759" s="103"/>
    </row>
    <row r="760">
      <c r="A760" s="12"/>
      <c r="B760" s="12"/>
      <c r="C760" s="103"/>
    </row>
    <row r="761">
      <c r="A761" s="12"/>
      <c r="B761" s="12"/>
      <c r="C761" s="103"/>
    </row>
    <row r="762">
      <c r="A762" s="12"/>
      <c r="B762" s="12"/>
      <c r="C762" s="103"/>
    </row>
    <row r="763">
      <c r="A763" s="12"/>
      <c r="B763" s="12"/>
      <c r="C763" s="103"/>
    </row>
    <row r="764">
      <c r="A764" s="12"/>
      <c r="B764" s="12"/>
      <c r="C764" s="103"/>
    </row>
    <row r="765">
      <c r="A765" s="12"/>
      <c r="B765" s="12"/>
      <c r="C765" s="103"/>
    </row>
    <row r="766">
      <c r="A766" s="12"/>
      <c r="B766" s="12"/>
      <c r="C766" s="103"/>
    </row>
    <row r="767">
      <c r="A767" s="12"/>
      <c r="B767" s="12"/>
      <c r="C767" s="103"/>
    </row>
    <row r="768">
      <c r="A768" s="12"/>
      <c r="B768" s="12"/>
      <c r="C768" s="103"/>
    </row>
    <row r="769">
      <c r="A769" s="12"/>
      <c r="B769" s="12"/>
      <c r="C769" s="103"/>
    </row>
    <row r="770">
      <c r="A770" s="12"/>
      <c r="B770" s="12"/>
      <c r="C770" s="103"/>
    </row>
    <row r="771">
      <c r="A771" s="12"/>
      <c r="B771" s="12"/>
      <c r="C771" s="103"/>
    </row>
    <row r="772">
      <c r="A772" s="12"/>
      <c r="B772" s="12"/>
      <c r="C772" s="103"/>
    </row>
    <row r="773">
      <c r="A773" s="12"/>
      <c r="B773" s="12"/>
      <c r="C773" s="103"/>
    </row>
    <row r="774">
      <c r="A774" s="12"/>
      <c r="B774" s="12"/>
      <c r="C774" s="103"/>
    </row>
    <row r="775">
      <c r="A775" s="12"/>
      <c r="B775" s="12"/>
      <c r="C775" s="103"/>
    </row>
    <row r="776">
      <c r="A776" s="12"/>
      <c r="B776" s="12"/>
      <c r="C776" s="103"/>
    </row>
    <row r="777">
      <c r="A777" s="12"/>
      <c r="B777" s="12"/>
      <c r="C777" s="103"/>
    </row>
    <row r="778">
      <c r="A778" s="12"/>
      <c r="B778" s="12"/>
      <c r="C778" s="103"/>
    </row>
    <row r="779">
      <c r="A779" s="12"/>
      <c r="B779" s="12"/>
      <c r="C779" s="103"/>
    </row>
    <row r="780">
      <c r="A780" s="12"/>
      <c r="B780" s="12"/>
      <c r="C780" s="103"/>
    </row>
    <row r="781">
      <c r="A781" s="12"/>
      <c r="B781" s="12"/>
      <c r="C781" s="103"/>
    </row>
    <row r="782">
      <c r="A782" s="12"/>
      <c r="B782" s="12"/>
      <c r="C782" s="103"/>
    </row>
    <row r="783">
      <c r="A783" s="12"/>
      <c r="B783" s="12"/>
      <c r="C783" s="103"/>
    </row>
    <row r="784">
      <c r="A784" s="12"/>
      <c r="B784" s="12"/>
      <c r="C784" s="103"/>
    </row>
    <row r="785">
      <c r="A785" s="12"/>
      <c r="B785" s="12"/>
      <c r="C785" s="103"/>
    </row>
    <row r="786">
      <c r="A786" s="12"/>
      <c r="B786" s="12"/>
      <c r="C786" s="103"/>
    </row>
    <row r="787">
      <c r="A787" s="12"/>
      <c r="B787" s="12"/>
      <c r="C787" s="103"/>
    </row>
    <row r="788">
      <c r="A788" s="12"/>
      <c r="B788" s="12"/>
      <c r="C788" s="103"/>
    </row>
    <row r="789">
      <c r="A789" s="12"/>
      <c r="B789" s="12"/>
      <c r="C789" s="103"/>
    </row>
    <row r="790">
      <c r="A790" s="12"/>
      <c r="B790" s="12"/>
      <c r="C790" s="103"/>
    </row>
    <row r="791">
      <c r="A791" s="12"/>
      <c r="B791" s="12"/>
      <c r="C791" s="103"/>
    </row>
    <row r="792">
      <c r="A792" s="12"/>
      <c r="B792" s="12"/>
      <c r="C792" s="103"/>
    </row>
    <row r="793">
      <c r="A793" s="12"/>
      <c r="B793" s="12"/>
      <c r="C793" s="103"/>
    </row>
    <row r="794">
      <c r="A794" s="12"/>
      <c r="B794" s="12"/>
      <c r="C794" s="103"/>
    </row>
    <row r="795">
      <c r="A795" s="12"/>
      <c r="B795" s="12"/>
      <c r="C795" s="103"/>
    </row>
    <row r="796">
      <c r="A796" s="12"/>
      <c r="B796" s="12"/>
      <c r="C796" s="103"/>
    </row>
    <row r="797">
      <c r="A797" s="12"/>
      <c r="B797" s="12"/>
      <c r="C797" s="103"/>
    </row>
    <row r="798">
      <c r="A798" s="12"/>
      <c r="B798" s="12"/>
      <c r="C798" s="103"/>
    </row>
    <row r="799">
      <c r="A799" s="12"/>
      <c r="B799" s="12"/>
      <c r="C799" s="103"/>
    </row>
    <row r="800">
      <c r="A800" s="12"/>
      <c r="B800" s="12"/>
      <c r="C800" s="103"/>
    </row>
    <row r="801">
      <c r="A801" s="12"/>
      <c r="B801" s="12"/>
      <c r="C801" s="103"/>
    </row>
    <row r="802">
      <c r="A802" s="12"/>
      <c r="B802" s="12"/>
      <c r="C802" s="103"/>
    </row>
    <row r="803">
      <c r="A803" s="12"/>
      <c r="B803" s="12"/>
      <c r="C803" s="103"/>
    </row>
    <row r="804">
      <c r="A804" s="12"/>
      <c r="B804" s="12"/>
      <c r="C804" s="103"/>
    </row>
    <row r="805">
      <c r="A805" s="12"/>
      <c r="B805" s="12"/>
      <c r="C805" s="103"/>
    </row>
    <row r="806">
      <c r="A806" s="12"/>
      <c r="B806" s="12"/>
      <c r="C806" s="103"/>
    </row>
    <row r="807">
      <c r="A807" s="12"/>
      <c r="B807" s="12"/>
      <c r="C807" s="103"/>
    </row>
    <row r="808">
      <c r="A808" s="12"/>
      <c r="B808" s="12"/>
      <c r="C808" s="103"/>
    </row>
    <row r="809">
      <c r="A809" s="12"/>
      <c r="B809" s="12"/>
      <c r="C809" s="103"/>
    </row>
    <row r="810">
      <c r="A810" s="12"/>
      <c r="B810" s="12"/>
      <c r="C810" s="103"/>
    </row>
    <row r="811">
      <c r="A811" s="12"/>
      <c r="B811" s="12"/>
      <c r="C811" s="103"/>
    </row>
    <row r="812">
      <c r="A812" s="12"/>
      <c r="B812" s="12"/>
      <c r="C812" s="103"/>
    </row>
    <row r="813">
      <c r="A813" s="12"/>
      <c r="B813" s="12"/>
      <c r="C813" s="103"/>
    </row>
    <row r="814">
      <c r="A814" s="12"/>
      <c r="B814" s="12"/>
      <c r="C814" s="103"/>
    </row>
    <row r="815">
      <c r="A815" s="12"/>
      <c r="B815" s="12"/>
      <c r="C815" s="103"/>
    </row>
    <row r="816">
      <c r="A816" s="12"/>
      <c r="B816" s="12"/>
      <c r="C816" s="103"/>
    </row>
    <row r="817">
      <c r="A817" s="12"/>
      <c r="B817" s="12"/>
      <c r="C817" s="103"/>
    </row>
    <row r="818">
      <c r="A818" s="12"/>
      <c r="B818" s="12"/>
      <c r="C818" s="103"/>
    </row>
    <row r="819">
      <c r="A819" s="12"/>
      <c r="B819" s="12"/>
      <c r="C819" s="103"/>
    </row>
    <row r="820">
      <c r="A820" s="12"/>
      <c r="B820" s="12"/>
      <c r="C820" s="103"/>
    </row>
    <row r="821">
      <c r="A821" s="12"/>
      <c r="B821" s="12"/>
      <c r="C821" s="103"/>
    </row>
    <row r="822">
      <c r="A822" s="12"/>
      <c r="B822" s="12"/>
      <c r="C822" s="103"/>
    </row>
    <row r="823">
      <c r="A823" s="12"/>
      <c r="B823" s="12"/>
      <c r="C823" s="103"/>
    </row>
    <row r="824">
      <c r="A824" s="12"/>
      <c r="B824" s="12"/>
      <c r="C824" s="103"/>
    </row>
    <row r="825">
      <c r="A825" s="12"/>
      <c r="B825" s="12"/>
      <c r="C825" s="103"/>
    </row>
    <row r="826">
      <c r="A826" s="12"/>
      <c r="B826" s="12"/>
      <c r="C826" s="103"/>
    </row>
    <row r="827">
      <c r="A827" s="12"/>
      <c r="B827" s="12"/>
      <c r="C827" s="103"/>
    </row>
    <row r="828">
      <c r="A828" s="12"/>
      <c r="B828" s="12"/>
      <c r="C828" s="103"/>
    </row>
    <row r="829">
      <c r="A829" s="12"/>
      <c r="B829" s="12"/>
      <c r="C829" s="103"/>
    </row>
    <row r="830">
      <c r="A830" s="12"/>
      <c r="B830" s="12"/>
      <c r="C830" s="103"/>
    </row>
    <row r="831">
      <c r="A831" s="12"/>
      <c r="B831" s="12"/>
      <c r="C831" s="103"/>
    </row>
    <row r="832">
      <c r="A832" s="12"/>
      <c r="B832" s="12"/>
      <c r="C832" s="103"/>
    </row>
    <row r="833">
      <c r="A833" s="12"/>
      <c r="B833" s="12"/>
      <c r="C833" s="103"/>
    </row>
    <row r="834">
      <c r="A834" s="12"/>
      <c r="B834" s="12"/>
      <c r="C834" s="103"/>
    </row>
    <row r="835">
      <c r="A835" s="12"/>
      <c r="B835" s="12"/>
      <c r="C835" s="103"/>
    </row>
    <row r="836">
      <c r="A836" s="12"/>
      <c r="B836" s="12"/>
      <c r="C836" s="103"/>
    </row>
    <row r="837">
      <c r="A837" s="12"/>
      <c r="B837" s="12"/>
      <c r="C837" s="103"/>
    </row>
    <row r="838">
      <c r="A838" s="12"/>
      <c r="B838" s="12"/>
      <c r="C838" s="103"/>
    </row>
    <row r="839">
      <c r="A839" s="12"/>
      <c r="B839" s="12"/>
      <c r="C839" s="103"/>
    </row>
    <row r="840">
      <c r="A840" s="12"/>
      <c r="B840" s="12"/>
      <c r="C840" s="103"/>
    </row>
    <row r="841">
      <c r="A841" s="12"/>
      <c r="B841" s="12"/>
      <c r="C841" s="103"/>
    </row>
    <row r="842">
      <c r="A842" s="12"/>
      <c r="B842" s="12"/>
      <c r="C842" s="103"/>
    </row>
    <row r="843">
      <c r="A843" s="12"/>
      <c r="B843" s="12"/>
      <c r="C843" s="103"/>
    </row>
    <row r="844">
      <c r="A844" s="12"/>
      <c r="B844" s="12"/>
      <c r="C844" s="103"/>
    </row>
    <row r="845">
      <c r="A845" s="12"/>
      <c r="B845" s="12"/>
      <c r="C845" s="103"/>
    </row>
    <row r="846">
      <c r="A846" s="12"/>
      <c r="B846" s="12"/>
      <c r="C846" s="103"/>
    </row>
    <row r="847">
      <c r="A847" s="12"/>
      <c r="B847" s="12"/>
      <c r="C847" s="103"/>
    </row>
    <row r="848">
      <c r="A848" s="12"/>
      <c r="B848" s="12"/>
      <c r="C848" s="103"/>
    </row>
    <row r="849">
      <c r="A849" s="12"/>
      <c r="B849" s="12"/>
      <c r="C849" s="103"/>
    </row>
    <row r="850">
      <c r="A850" s="12"/>
      <c r="B850" s="12"/>
      <c r="C850" s="103"/>
    </row>
    <row r="851">
      <c r="A851" s="12"/>
      <c r="B851" s="12"/>
      <c r="C851" s="103"/>
    </row>
    <row r="852">
      <c r="A852" s="12"/>
      <c r="B852" s="12"/>
      <c r="C852" s="103"/>
    </row>
    <row r="853">
      <c r="A853" s="12"/>
      <c r="B853" s="12"/>
      <c r="C853" s="103"/>
    </row>
    <row r="854">
      <c r="A854" s="12"/>
      <c r="B854" s="12"/>
      <c r="C854" s="103"/>
    </row>
    <row r="855">
      <c r="A855" s="12"/>
      <c r="B855" s="12"/>
      <c r="C855" s="103"/>
    </row>
    <row r="856">
      <c r="A856" s="12"/>
      <c r="B856" s="12"/>
      <c r="C856" s="103"/>
    </row>
    <row r="857">
      <c r="A857" s="12"/>
      <c r="B857" s="12"/>
      <c r="C857" s="103"/>
    </row>
    <row r="858">
      <c r="A858" s="12"/>
      <c r="B858" s="12"/>
      <c r="C858" s="103"/>
    </row>
    <row r="859">
      <c r="A859" s="12"/>
      <c r="B859" s="12"/>
      <c r="C859" s="103"/>
    </row>
    <row r="860">
      <c r="A860" s="12"/>
      <c r="B860" s="12"/>
      <c r="C860" s="103"/>
    </row>
    <row r="861">
      <c r="A861" s="12"/>
      <c r="B861" s="12"/>
      <c r="C861" s="103"/>
    </row>
    <row r="862">
      <c r="A862" s="12"/>
      <c r="B862" s="12"/>
      <c r="C862" s="103"/>
    </row>
    <row r="863">
      <c r="A863" s="12"/>
      <c r="B863" s="12"/>
      <c r="C863" s="103"/>
    </row>
    <row r="864">
      <c r="A864" s="12"/>
      <c r="B864" s="12"/>
      <c r="C864" s="103"/>
    </row>
    <row r="865">
      <c r="A865" s="12"/>
      <c r="B865" s="12"/>
      <c r="C865" s="103"/>
    </row>
    <row r="866">
      <c r="A866" s="12"/>
      <c r="B866" s="12"/>
      <c r="C866" s="103"/>
    </row>
    <row r="867">
      <c r="A867" s="12"/>
      <c r="B867" s="12"/>
      <c r="C867" s="103"/>
    </row>
    <row r="868">
      <c r="A868" s="12"/>
      <c r="B868" s="12"/>
      <c r="C868" s="103"/>
    </row>
    <row r="869">
      <c r="A869" s="12"/>
      <c r="B869" s="12"/>
      <c r="C869" s="103"/>
    </row>
    <row r="870">
      <c r="A870" s="12"/>
      <c r="B870" s="12"/>
      <c r="C870" s="103"/>
    </row>
    <row r="871">
      <c r="A871" s="12"/>
      <c r="B871" s="12"/>
      <c r="C871" s="103"/>
    </row>
    <row r="872">
      <c r="A872" s="12"/>
      <c r="B872" s="12"/>
      <c r="C872" s="103"/>
    </row>
    <row r="873">
      <c r="A873" s="12"/>
      <c r="B873" s="12"/>
      <c r="C873" s="103"/>
    </row>
    <row r="874">
      <c r="A874" s="12"/>
      <c r="B874" s="12"/>
      <c r="C874" s="103"/>
    </row>
    <row r="875">
      <c r="A875" s="12"/>
      <c r="B875" s="12"/>
      <c r="C875" s="103"/>
    </row>
    <row r="876">
      <c r="A876" s="12"/>
      <c r="B876" s="12"/>
      <c r="C876" s="103"/>
    </row>
    <row r="877">
      <c r="A877" s="12"/>
      <c r="B877" s="12"/>
      <c r="C877" s="103"/>
    </row>
    <row r="878">
      <c r="A878" s="12"/>
      <c r="B878" s="12"/>
      <c r="C878" s="103"/>
    </row>
    <row r="879">
      <c r="A879" s="12"/>
      <c r="B879" s="12"/>
      <c r="C879" s="103"/>
    </row>
    <row r="880">
      <c r="A880" s="12"/>
      <c r="B880" s="12"/>
      <c r="C880" s="103"/>
    </row>
    <row r="881">
      <c r="A881" s="12"/>
      <c r="B881" s="12"/>
      <c r="C881" s="103"/>
    </row>
    <row r="882">
      <c r="A882" s="12"/>
      <c r="B882" s="12"/>
      <c r="C882" s="103"/>
    </row>
    <row r="883">
      <c r="A883" s="12"/>
      <c r="B883" s="12"/>
      <c r="C883" s="103"/>
    </row>
    <row r="884">
      <c r="A884" s="12"/>
      <c r="B884" s="12"/>
      <c r="C884" s="103"/>
    </row>
    <row r="885">
      <c r="A885" s="12"/>
      <c r="B885" s="12"/>
      <c r="C885" s="103"/>
    </row>
    <row r="886">
      <c r="A886" s="12"/>
      <c r="B886" s="12"/>
      <c r="C886" s="103"/>
    </row>
    <row r="887">
      <c r="A887" s="12"/>
      <c r="B887" s="12"/>
      <c r="C887" s="103"/>
    </row>
    <row r="888">
      <c r="A888" s="12"/>
      <c r="B888" s="12"/>
      <c r="C888" s="103"/>
    </row>
    <row r="889">
      <c r="A889" s="12"/>
      <c r="B889" s="12"/>
      <c r="C889" s="103"/>
    </row>
    <row r="890">
      <c r="A890" s="12"/>
      <c r="B890" s="12"/>
      <c r="C890" s="103"/>
    </row>
    <row r="891">
      <c r="A891" s="12"/>
      <c r="B891" s="12"/>
      <c r="C891" s="103"/>
    </row>
    <row r="892">
      <c r="A892" s="12"/>
      <c r="B892" s="12"/>
      <c r="C892" s="103"/>
    </row>
    <row r="893">
      <c r="A893" s="12"/>
      <c r="B893" s="12"/>
      <c r="C893" s="103"/>
    </row>
    <row r="894">
      <c r="A894" s="12"/>
      <c r="B894" s="12"/>
      <c r="C894" s="103"/>
    </row>
    <row r="895">
      <c r="A895" s="12"/>
      <c r="B895" s="12"/>
      <c r="C895" s="103"/>
    </row>
    <row r="896">
      <c r="A896" s="12"/>
      <c r="B896" s="12"/>
      <c r="C896" s="103"/>
    </row>
    <row r="897">
      <c r="A897" s="12"/>
      <c r="B897" s="12"/>
      <c r="C897" s="103"/>
    </row>
    <row r="898">
      <c r="A898" s="12"/>
      <c r="B898" s="12"/>
      <c r="C898" s="103"/>
    </row>
    <row r="899">
      <c r="A899" s="12"/>
      <c r="B899" s="12"/>
      <c r="C899" s="103"/>
    </row>
    <row r="900">
      <c r="A900" s="12"/>
      <c r="B900" s="12"/>
      <c r="C900" s="103"/>
    </row>
    <row r="901">
      <c r="A901" s="12"/>
      <c r="B901" s="12"/>
      <c r="C901" s="103"/>
    </row>
    <row r="902">
      <c r="A902" s="12"/>
      <c r="B902" s="12"/>
      <c r="C902" s="103"/>
    </row>
    <row r="903">
      <c r="A903" s="12"/>
      <c r="B903" s="12"/>
      <c r="C903" s="103"/>
    </row>
    <row r="904">
      <c r="A904" s="12"/>
      <c r="B904" s="12"/>
      <c r="C904" s="103"/>
    </row>
    <row r="905">
      <c r="A905" s="12"/>
      <c r="B905" s="12"/>
      <c r="C905" s="103"/>
    </row>
    <row r="906">
      <c r="A906" s="12"/>
      <c r="B906" s="12"/>
      <c r="C906" s="103"/>
    </row>
    <row r="907">
      <c r="A907" s="12"/>
      <c r="B907" s="12"/>
      <c r="C907" s="103"/>
    </row>
    <row r="908">
      <c r="A908" s="12"/>
      <c r="B908" s="12"/>
      <c r="C908" s="103"/>
    </row>
    <row r="909">
      <c r="A909" s="12"/>
      <c r="B909" s="12"/>
      <c r="C909" s="103"/>
    </row>
    <row r="910">
      <c r="A910" s="12"/>
      <c r="B910" s="12"/>
      <c r="C910" s="103"/>
    </row>
    <row r="911">
      <c r="A911" s="12"/>
      <c r="B911" s="12"/>
      <c r="C911" s="103"/>
    </row>
    <row r="912">
      <c r="A912" s="12"/>
      <c r="B912" s="12"/>
      <c r="C912" s="103"/>
    </row>
    <row r="913">
      <c r="A913" s="12"/>
      <c r="B913" s="12"/>
      <c r="C913" s="103"/>
    </row>
    <row r="914">
      <c r="A914" s="12"/>
      <c r="B914" s="12"/>
      <c r="C914" s="103"/>
    </row>
    <row r="915">
      <c r="A915" s="12"/>
      <c r="B915" s="12"/>
      <c r="C915" s="103"/>
    </row>
    <row r="916">
      <c r="A916" s="12"/>
      <c r="B916" s="12"/>
      <c r="C916" s="103"/>
    </row>
    <row r="917">
      <c r="A917" s="12"/>
      <c r="B917" s="12"/>
      <c r="C917" s="103"/>
    </row>
    <row r="918">
      <c r="A918" s="12"/>
      <c r="B918" s="12"/>
      <c r="C918" s="103"/>
    </row>
    <row r="919">
      <c r="A919" s="12"/>
      <c r="B919" s="12"/>
      <c r="C919" s="103"/>
    </row>
    <row r="920">
      <c r="A920" s="12"/>
      <c r="B920" s="12"/>
      <c r="C920" s="103"/>
    </row>
    <row r="921">
      <c r="A921" s="12"/>
      <c r="B921" s="12"/>
      <c r="C921" s="103"/>
    </row>
    <row r="922">
      <c r="A922" s="12"/>
      <c r="B922" s="12"/>
      <c r="C922" s="103"/>
    </row>
    <row r="923">
      <c r="A923" s="12"/>
      <c r="B923" s="12"/>
      <c r="C923" s="103"/>
    </row>
    <row r="924">
      <c r="A924" s="12"/>
      <c r="B924" s="12"/>
      <c r="C924" s="103"/>
    </row>
    <row r="925">
      <c r="A925" s="12"/>
      <c r="B925" s="12"/>
      <c r="C925" s="103"/>
    </row>
    <row r="926">
      <c r="A926" s="12"/>
      <c r="B926" s="12"/>
      <c r="C926" s="103"/>
    </row>
    <row r="927">
      <c r="A927" s="12"/>
      <c r="B927" s="12"/>
      <c r="C927" s="103"/>
    </row>
    <row r="928">
      <c r="A928" s="12"/>
      <c r="B928" s="12"/>
      <c r="C928" s="103"/>
    </row>
    <row r="929">
      <c r="A929" s="12"/>
      <c r="B929" s="12"/>
      <c r="C929" s="103"/>
    </row>
    <row r="930">
      <c r="A930" s="12"/>
      <c r="B930" s="12"/>
      <c r="C930" s="103"/>
    </row>
    <row r="931">
      <c r="A931" s="12"/>
      <c r="B931" s="12"/>
      <c r="C931" s="103"/>
    </row>
    <row r="932">
      <c r="A932" s="12"/>
      <c r="B932" s="12"/>
      <c r="C932" s="103"/>
    </row>
    <row r="933">
      <c r="A933" s="12"/>
      <c r="B933" s="12"/>
      <c r="C933" s="103"/>
    </row>
    <row r="934">
      <c r="A934" s="12"/>
      <c r="B934" s="12"/>
      <c r="C934" s="103"/>
    </row>
    <row r="935">
      <c r="A935" s="12"/>
      <c r="B935" s="12"/>
      <c r="C935" s="103"/>
    </row>
    <row r="936">
      <c r="A936" s="12"/>
      <c r="B936" s="12"/>
      <c r="C936" s="103"/>
    </row>
    <row r="937">
      <c r="A937" s="12"/>
      <c r="B937" s="12"/>
      <c r="C937" s="103"/>
    </row>
    <row r="938">
      <c r="A938" s="12"/>
      <c r="B938" s="12"/>
      <c r="C938" s="103"/>
    </row>
    <row r="939">
      <c r="A939" s="12"/>
      <c r="B939" s="12"/>
      <c r="C939" s="103"/>
    </row>
    <row r="940">
      <c r="A940" s="12"/>
      <c r="B940" s="12"/>
      <c r="C940" s="103"/>
    </row>
    <row r="941">
      <c r="A941" s="12"/>
      <c r="B941" s="12"/>
      <c r="C941" s="103"/>
    </row>
    <row r="942">
      <c r="A942" s="12"/>
      <c r="B942" s="12"/>
      <c r="C942" s="103"/>
    </row>
    <row r="943">
      <c r="A943" s="12"/>
      <c r="B943" s="12"/>
      <c r="C943" s="103"/>
    </row>
    <row r="944">
      <c r="A944" s="12"/>
      <c r="B944" s="12"/>
      <c r="C944" s="103"/>
    </row>
    <row r="945">
      <c r="A945" s="12"/>
      <c r="B945" s="12"/>
      <c r="C945" s="103"/>
    </row>
    <row r="946">
      <c r="A946" s="12"/>
      <c r="B946" s="12"/>
      <c r="C946" s="103"/>
    </row>
    <row r="947">
      <c r="A947" s="12"/>
      <c r="B947" s="12"/>
      <c r="C947" s="103"/>
    </row>
    <row r="948">
      <c r="A948" s="12"/>
      <c r="B948" s="12"/>
      <c r="C948" s="103"/>
    </row>
    <row r="949">
      <c r="A949" s="12"/>
      <c r="B949" s="12"/>
      <c r="C949" s="103"/>
    </row>
    <row r="950">
      <c r="A950" s="12"/>
      <c r="B950" s="12"/>
      <c r="C950" s="103"/>
    </row>
    <row r="951">
      <c r="A951" s="12"/>
      <c r="B951" s="12"/>
      <c r="C951" s="103"/>
    </row>
    <row r="952">
      <c r="A952" s="12"/>
      <c r="B952" s="12"/>
      <c r="C952" s="103"/>
    </row>
    <row r="953">
      <c r="A953" s="12"/>
      <c r="B953" s="12"/>
      <c r="C953" s="103"/>
    </row>
    <row r="954">
      <c r="A954" s="12"/>
      <c r="B954" s="12"/>
      <c r="C954" s="103"/>
    </row>
    <row r="955">
      <c r="A955" s="12"/>
      <c r="B955" s="12"/>
      <c r="C955" s="103"/>
    </row>
    <row r="956">
      <c r="A956" s="12"/>
      <c r="B956" s="12"/>
      <c r="C956" s="103"/>
    </row>
    <row r="957">
      <c r="A957" s="12"/>
      <c r="B957" s="12"/>
      <c r="C957" s="103"/>
    </row>
    <row r="958">
      <c r="A958" s="12"/>
      <c r="B958" s="12"/>
      <c r="C958" s="103"/>
    </row>
    <row r="959">
      <c r="A959" s="12"/>
      <c r="B959" s="12"/>
      <c r="C959" s="103"/>
    </row>
    <row r="960">
      <c r="A960" s="12"/>
      <c r="B960" s="12"/>
      <c r="C960" s="103"/>
    </row>
    <row r="961">
      <c r="A961" s="12"/>
      <c r="B961" s="12"/>
      <c r="C961" s="103"/>
    </row>
    <row r="962">
      <c r="A962" s="12"/>
      <c r="B962" s="12"/>
      <c r="C962" s="103"/>
    </row>
    <row r="963">
      <c r="A963" s="12"/>
      <c r="B963" s="12"/>
      <c r="C963" s="103"/>
    </row>
    <row r="964">
      <c r="A964" s="12"/>
      <c r="B964" s="12"/>
      <c r="C964" s="103"/>
    </row>
    <row r="965">
      <c r="A965" s="12"/>
      <c r="B965" s="12"/>
      <c r="C965" s="103"/>
    </row>
    <row r="966">
      <c r="A966" s="12"/>
      <c r="B966" s="12"/>
      <c r="C966" s="103"/>
    </row>
    <row r="967">
      <c r="A967" s="12"/>
      <c r="B967" s="12"/>
      <c r="C967" s="103"/>
    </row>
    <row r="968">
      <c r="A968" s="12"/>
      <c r="B968" s="12"/>
      <c r="C968" s="103"/>
    </row>
    <row r="969">
      <c r="A969" s="12"/>
      <c r="B969" s="12"/>
      <c r="C969" s="103"/>
    </row>
    <row r="970">
      <c r="A970" s="12"/>
      <c r="B970" s="12"/>
      <c r="C970" s="103"/>
    </row>
    <row r="971">
      <c r="A971" s="12"/>
      <c r="B971" s="12"/>
      <c r="C971" s="103"/>
    </row>
    <row r="972">
      <c r="A972" s="12"/>
      <c r="B972" s="12"/>
      <c r="C972" s="103"/>
    </row>
    <row r="973">
      <c r="A973" s="12"/>
      <c r="B973" s="12"/>
      <c r="C973" s="103"/>
    </row>
    <row r="974">
      <c r="A974" s="12"/>
      <c r="B974" s="12"/>
      <c r="C974" s="103"/>
    </row>
    <row r="975">
      <c r="A975" s="12"/>
      <c r="B975" s="12"/>
      <c r="C975" s="103"/>
    </row>
    <row r="976">
      <c r="A976" s="12"/>
      <c r="B976" s="12"/>
      <c r="C976" s="103"/>
    </row>
    <row r="977">
      <c r="A977" s="12"/>
      <c r="B977" s="12"/>
      <c r="C977" s="103"/>
    </row>
    <row r="978">
      <c r="A978" s="12"/>
      <c r="B978" s="12"/>
      <c r="C978" s="103"/>
    </row>
    <row r="979">
      <c r="A979" s="12"/>
      <c r="B979" s="12"/>
      <c r="C979" s="103"/>
    </row>
    <row r="980">
      <c r="A980" s="12"/>
      <c r="B980" s="12"/>
      <c r="C980" s="103"/>
    </row>
    <row r="981">
      <c r="A981" s="12"/>
      <c r="B981" s="12"/>
      <c r="C981" s="103"/>
    </row>
    <row r="982">
      <c r="A982" s="12"/>
      <c r="B982" s="12"/>
      <c r="C982" s="103"/>
    </row>
    <row r="983">
      <c r="A983" s="12"/>
      <c r="B983" s="12"/>
      <c r="C983" s="103"/>
    </row>
    <row r="984">
      <c r="A984" s="12"/>
      <c r="B984" s="12"/>
      <c r="C984" s="103"/>
    </row>
    <row r="985">
      <c r="A985" s="12"/>
      <c r="B985" s="12"/>
      <c r="C985" s="103"/>
    </row>
    <row r="986">
      <c r="A986" s="12"/>
      <c r="B986" s="12"/>
      <c r="C986" s="103"/>
    </row>
    <row r="987">
      <c r="A987" s="12"/>
      <c r="B987" s="12"/>
      <c r="C987" s="103"/>
    </row>
    <row r="988">
      <c r="A988" s="12"/>
      <c r="B988" s="12"/>
      <c r="C988" s="103"/>
    </row>
    <row r="989">
      <c r="A989" s="12"/>
      <c r="B989" s="12"/>
      <c r="C989" s="103"/>
    </row>
    <row r="990">
      <c r="A990" s="12"/>
      <c r="B990" s="12"/>
      <c r="C990" s="103"/>
    </row>
    <row r="991">
      <c r="A991" s="12"/>
      <c r="B991" s="12"/>
      <c r="C991" s="103"/>
    </row>
    <row r="992">
      <c r="A992" s="12"/>
      <c r="B992" s="12"/>
      <c r="C992" s="103"/>
    </row>
    <row r="993">
      <c r="A993" s="12"/>
      <c r="B993" s="12"/>
      <c r="C993" s="103"/>
    </row>
    <row r="994">
      <c r="A994" s="12"/>
      <c r="B994" s="12"/>
      <c r="C994" s="103"/>
    </row>
    <row r="995">
      <c r="A995" s="12"/>
      <c r="B995" s="12"/>
      <c r="C995" s="103"/>
    </row>
    <row r="996">
      <c r="A996" s="12"/>
      <c r="B996" s="12"/>
      <c r="C996" s="103"/>
    </row>
    <row r="997">
      <c r="A997" s="12"/>
      <c r="B997" s="12"/>
      <c r="C997" s="103"/>
    </row>
    <row r="998">
      <c r="A998" s="12"/>
      <c r="B998" s="12"/>
      <c r="C998" s="103"/>
    </row>
    <row r="999">
      <c r="A999" s="12"/>
      <c r="B999" s="12"/>
      <c r="C999" s="103"/>
    </row>
  </sheetData>
  <mergeCells count="3">
    <mergeCell ref="A2:B2"/>
    <mergeCell ref="A4:A5"/>
    <mergeCell ref="B4:B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6.63"/>
    <col customWidth="1" min="2" max="2" width="53.25"/>
    <col customWidth="1" min="3" max="3" width="15.38"/>
  </cols>
  <sheetData>
    <row r="1" ht="75.0" customHeight="1">
      <c r="A1" s="2" t="s">
        <v>141</v>
      </c>
      <c r="B1" s="3" t="s">
        <v>142</v>
      </c>
      <c r="C1" s="9">
        <f>SUM(C7) / 100</f>
        <v>1</v>
      </c>
    </row>
    <row r="2">
      <c r="A2" s="10" t="s">
        <v>1365</v>
      </c>
    </row>
    <row r="3">
      <c r="A3" s="12"/>
    </row>
    <row r="4">
      <c r="A4" s="23" t="s">
        <v>1365</v>
      </c>
      <c r="B4" s="6"/>
      <c r="C4" s="8"/>
    </row>
    <row r="5">
      <c r="A5" s="16" t="s">
        <v>11</v>
      </c>
      <c r="B5" s="8"/>
      <c r="C5" s="17">
        <v>6.0</v>
      </c>
    </row>
    <row r="6">
      <c r="A6" s="16" t="s">
        <v>13</v>
      </c>
      <c r="B6" s="8"/>
      <c r="C6" s="17">
        <f>COUNTA(C10:C905)</f>
        <v>6</v>
      </c>
    </row>
    <row r="7">
      <c r="A7" s="16" t="s">
        <v>17</v>
      </c>
      <c r="B7" s="8"/>
      <c r="C7" s="48">
        <f>(C6 * C8) / C5</f>
        <v>100</v>
      </c>
    </row>
    <row r="8">
      <c r="A8" s="50" t="s">
        <v>24</v>
      </c>
      <c r="B8" s="8"/>
      <c r="C8" s="52">
        <v>100.0</v>
      </c>
    </row>
    <row r="9" ht="52.5" customHeight="1">
      <c r="A9" s="39" t="s">
        <v>1311</v>
      </c>
      <c r="B9" s="39" t="s">
        <v>1366</v>
      </c>
      <c r="C9" s="104" t="s">
        <v>1304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>
      <c r="A10" s="41" t="s">
        <v>1367</v>
      </c>
      <c r="B10" s="41" t="s">
        <v>1368</v>
      </c>
      <c r="C10" s="91">
        <v>45895.0</v>
      </c>
    </row>
    <row r="11">
      <c r="A11" s="41" t="s">
        <v>1369</v>
      </c>
      <c r="B11" s="41" t="s">
        <v>1370</v>
      </c>
      <c r="C11" s="91">
        <v>45895.0</v>
      </c>
    </row>
    <row r="12">
      <c r="A12" s="41" t="s">
        <v>1371</v>
      </c>
      <c r="B12" s="41" t="s">
        <v>1372</v>
      </c>
      <c r="C12" s="91">
        <v>45895.0</v>
      </c>
    </row>
    <row r="13">
      <c r="A13" s="41" t="s">
        <v>1373</v>
      </c>
      <c r="B13" s="41" t="s">
        <v>1374</v>
      </c>
      <c r="C13" s="91">
        <v>45964.0</v>
      </c>
    </row>
    <row r="14">
      <c r="A14" s="41" t="s">
        <v>1375</v>
      </c>
      <c r="B14" s="41" t="s">
        <v>1376</v>
      </c>
      <c r="C14" s="91">
        <v>46086.0</v>
      </c>
    </row>
    <row r="15">
      <c r="A15" s="41" t="s">
        <v>1377</v>
      </c>
      <c r="B15" s="41" t="s">
        <v>1378</v>
      </c>
      <c r="C15" s="42" t="s">
        <v>1379</v>
      </c>
    </row>
    <row r="16">
      <c r="A16" s="12"/>
      <c r="B16" s="12"/>
      <c r="C16" s="60"/>
    </row>
    <row r="17">
      <c r="A17" s="12"/>
      <c r="B17" s="12"/>
      <c r="C17" s="60"/>
    </row>
    <row r="18">
      <c r="A18" s="12"/>
      <c r="B18" s="12"/>
      <c r="C18" s="60"/>
    </row>
    <row r="19">
      <c r="A19" s="12"/>
      <c r="B19" s="12"/>
      <c r="C19" s="60"/>
    </row>
    <row r="20">
      <c r="A20" s="12"/>
      <c r="B20" s="12"/>
      <c r="C20" s="60"/>
    </row>
    <row r="21">
      <c r="A21" s="12"/>
      <c r="B21" s="12"/>
      <c r="C21" s="60"/>
    </row>
    <row r="22">
      <c r="A22" s="12"/>
      <c r="B22" s="12"/>
      <c r="C22" s="60"/>
    </row>
    <row r="23">
      <c r="A23" s="12"/>
      <c r="B23" s="12"/>
      <c r="C23" s="60"/>
    </row>
    <row r="24">
      <c r="A24" s="12"/>
      <c r="B24" s="12"/>
      <c r="C24" s="60"/>
    </row>
    <row r="25">
      <c r="A25" s="12"/>
      <c r="B25" s="12"/>
      <c r="C25" s="60"/>
    </row>
    <row r="26">
      <c r="A26" s="12"/>
      <c r="B26" s="12"/>
      <c r="C26" s="60"/>
    </row>
    <row r="27">
      <c r="A27" s="12"/>
      <c r="B27" s="12"/>
      <c r="C27" s="60"/>
    </row>
    <row r="28">
      <c r="A28" s="12"/>
      <c r="B28" s="12"/>
      <c r="C28" s="60"/>
    </row>
    <row r="29">
      <c r="A29" s="12"/>
      <c r="B29" s="12"/>
      <c r="C29" s="60"/>
    </row>
    <row r="30">
      <c r="A30" s="12"/>
      <c r="B30" s="12"/>
      <c r="C30" s="60"/>
    </row>
    <row r="31">
      <c r="A31" s="12"/>
      <c r="B31" s="12"/>
      <c r="C31" s="60"/>
    </row>
    <row r="32">
      <c r="A32" s="12"/>
      <c r="B32" s="12"/>
      <c r="C32" s="60"/>
    </row>
    <row r="33">
      <c r="A33" s="12"/>
      <c r="B33" s="12"/>
      <c r="C33" s="60"/>
    </row>
    <row r="34">
      <c r="A34" s="12"/>
      <c r="B34" s="12"/>
      <c r="C34" s="60"/>
    </row>
    <row r="35">
      <c r="A35" s="12"/>
      <c r="B35" s="12"/>
      <c r="C35" s="60"/>
    </row>
    <row r="36">
      <c r="A36" s="12"/>
      <c r="B36" s="12"/>
      <c r="C36" s="60"/>
    </row>
    <row r="37">
      <c r="A37" s="12"/>
      <c r="B37" s="12"/>
      <c r="C37" s="60"/>
    </row>
    <row r="38">
      <c r="A38" s="12"/>
      <c r="B38" s="12"/>
      <c r="C38" s="60"/>
    </row>
    <row r="39">
      <c r="A39" s="12"/>
      <c r="B39" s="12"/>
      <c r="C39" s="60"/>
    </row>
    <row r="40">
      <c r="A40" s="12"/>
      <c r="B40" s="12"/>
      <c r="C40" s="60"/>
    </row>
    <row r="41">
      <c r="A41" s="12"/>
      <c r="B41" s="12"/>
      <c r="C41" s="60"/>
    </row>
    <row r="42">
      <c r="A42" s="12"/>
      <c r="B42" s="12"/>
      <c r="C42" s="60"/>
    </row>
    <row r="43">
      <c r="A43" s="12"/>
      <c r="B43" s="12"/>
      <c r="C43" s="60"/>
    </row>
    <row r="44">
      <c r="A44" s="12"/>
      <c r="B44" s="12"/>
      <c r="C44" s="60"/>
    </row>
    <row r="45">
      <c r="A45" s="12"/>
      <c r="B45" s="12"/>
      <c r="C45" s="60"/>
    </row>
    <row r="46">
      <c r="A46" s="12"/>
      <c r="B46" s="12"/>
      <c r="C46" s="60"/>
    </row>
    <row r="47">
      <c r="A47" s="12"/>
      <c r="B47" s="12"/>
      <c r="C47" s="60"/>
    </row>
    <row r="48">
      <c r="A48" s="12"/>
      <c r="B48" s="12"/>
      <c r="C48" s="60"/>
    </row>
    <row r="49">
      <c r="A49" s="12"/>
      <c r="B49" s="12"/>
      <c r="C49" s="60"/>
    </row>
    <row r="50">
      <c r="A50" s="12"/>
      <c r="B50" s="12"/>
      <c r="C50" s="60"/>
    </row>
    <row r="51">
      <c r="A51" s="12"/>
      <c r="B51" s="12"/>
      <c r="C51" s="60"/>
    </row>
    <row r="52">
      <c r="A52" s="12"/>
      <c r="B52" s="12"/>
      <c r="C52" s="60"/>
    </row>
    <row r="53">
      <c r="A53" s="12"/>
      <c r="B53" s="12"/>
      <c r="C53" s="60"/>
    </row>
    <row r="54">
      <c r="A54" s="12"/>
      <c r="B54" s="12"/>
      <c r="C54" s="60"/>
    </row>
    <row r="55">
      <c r="A55" s="12"/>
      <c r="B55" s="12"/>
      <c r="C55" s="60"/>
    </row>
    <row r="56">
      <c r="A56" s="12"/>
      <c r="B56" s="12"/>
      <c r="C56" s="60"/>
    </row>
    <row r="57">
      <c r="A57" s="12"/>
      <c r="B57" s="12"/>
      <c r="C57" s="60"/>
    </row>
    <row r="58">
      <c r="A58" s="12"/>
      <c r="B58" s="12"/>
      <c r="C58" s="60"/>
    </row>
    <row r="59">
      <c r="A59" s="12"/>
      <c r="B59" s="12"/>
      <c r="C59" s="60"/>
    </row>
    <row r="60">
      <c r="A60" s="12"/>
      <c r="B60" s="12"/>
      <c r="C60" s="60"/>
    </row>
    <row r="61">
      <c r="A61" s="12"/>
      <c r="B61" s="12"/>
      <c r="C61" s="60"/>
    </row>
    <row r="62">
      <c r="A62" s="12"/>
      <c r="B62" s="12"/>
      <c r="C62" s="60"/>
    </row>
    <row r="63">
      <c r="A63" s="12"/>
      <c r="B63" s="12"/>
      <c r="C63" s="60"/>
    </row>
    <row r="64">
      <c r="A64" s="12"/>
      <c r="B64" s="12"/>
      <c r="C64" s="60"/>
    </row>
    <row r="65">
      <c r="A65" s="12"/>
      <c r="B65" s="12"/>
      <c r="C65" s="60"/>
    </row>
    <row r="66">
      <c r="A66" s="12"/>
      <c r="B66" s="12"/>
      <c r="C66" s="60"/>
    </row>
    <row r="67">
      <c r="A67" s="12"/>
      <c r="B67" s="12"/>
      <c r="C67" s="60"/>
    </row>
    <row r="68">
      <c r="A68" s="12"/>
      <c r="B68" s="12"/>
      <c r="C68" s="60"/>
    </row>
    <row r="69">
      <c r="A69" s="12"/>
      <c r="B69" s="12"/>
      <c r="C69" s="60"/>
    </row>
    <row r="70">
      <c r="A70" s="12"/>
      <c r="B70" s="12"/>
      <c r="C70" s="60"/>
    </row>
    <row r="71">
      <c r="A71" s="12"/>
      <c r="B71" s="12"/>
      <c r="C71" s="60"/>
    </row>
    <row r="72">
      <c r="A72" s="12"/>
      <c r="B72" s="12"/>
      <c r="C72" s="60"/>
    </row>
    <row r="73">
      <c r="A73" s="12"/>
      <c r="B73" s="12"/>
      <c r="C73" s="60"/>
    </row>
    <row r="74">
      <c r="A74" s="12"/>
      <c r="B74" s="12"/>
      <c r="C74" s="60"/>
    </row>
    <row r="75">
      <c r="A75" s="12"/>
      <c r="B75" s="12"/>
      <c r="C75" s="60"/>
    </row>
    <row r="76">
      <c r="A76" s="12"/>
      <c r="B76" s="12"/>
      <c r="C76" s="60"/>
    </row>
    <row r="77">
      <c r="A77" s="12"/>
      <c r="B77" s="12"/>
      <c r="C77" s="60"/>
    </row>
    <row r="78">
      <c r="A78" s="12"/>
      <c r="B78" s="12"/>
      <c r="C78" s="60"/>
    </row>
    <row r="79">
      <c r="A79" s="12"/>
      <c r="B79" s="12"/>
      <c r="C79" s="60"/>
    </row>
    <row r="80">
      <c r="A80" s="12"/>
      <c r="B80" s="12"/>
      <c r="C80" s="60"/>
    </row>
    <row r="81">
      <c r="A81" s="12"/>
      <c r="B81" s="12"/>
      <c r="C81" s="60"/>
    </row>
    <row r="82">
      <c r="A82" s="12"/>
      <c r="B82" s="12"/>
      <c r="C82" s="60"/>
    </row>
    <row r="83">
      <c r="A83" s="12"/>
      <c r="B83" s="12"/>
      <c r="C83" s="60"/>
    </row>
    <row r="84">
      <c r="A84" s="12"/>
      <c r="B84" s="12"/>
      <c r="C84" s="60"/>
    </row>
    <row r="85">
      <c r="A85" s="12"/>
      <c r="B85" s="12"/>
      <c r="C85" s="60"/>
    </row>
    <row r="86">
      <c r="A86" s="12"/>
      <c r="B86" s="12"/>
      <c r="C86" s="60"/>
    </row>
    <row r="87">
      <c r="A87" s="12"/>
      <c r="B87" s="12"/>
      <c r="C87" s="60"/>
    </row>
    <row r="88">
      <c r="A88" s="12"/>
      <c r="B88" s="12"/>
      <c r="C88" s="60"/>
    </row>
    <row r="89">
      <c r="A89" s="12"/>
      <c r="B89" s="12"/>
      <c r="C89" s="60"/>
    </row>
    <row r="90">
      <c r="A90" s="12"/>
      <c r="B90" s="12"/>
      <c r="C90" s="60"/>
    </row>
    <row r="91">
      <c r="A91" s="12"/>
      <c r="B91" s="12"/>
      <c r="C91" s="60"/>
    </row>
    <row r="92">
      <c r="A92" s="12"/>
      <c r="B92" s="12"/>
      <c r="C92" s="60"/>
    </row>
    <row r="93">
      <c r="A93" s="12"/>
      <c r="B93" s="12"/>
      <c r="C93" s="60"/>
    </row>
    <row r="94">
      <c r="A94" s="12"/>
      <c r="B94" s="12"/>
      <c r="C94" s="60"/>
    </row>
    <row r="95">
      <c r="A95" s="12"/>
      <c r="B95" s="12"/>
      <c r="C95" s="60"/>
    </row>
    <row r="96">
      <c r="A96" s="12"/>
      <c r="B96" s="12"/>
      <c r="C96" s="60"/>
    </row>
    <row r="97">
      <c r="A97" s="12"/>
      <c r="B97" s="12"/>
      <c r="C97" s="60"/>
    </row>
    <row r="98">
      <c r="A98" s="12"/>
      <c r="B98" s="12"/>
      <c r="C98" s="60"/>
    </row>
    <row r="99">
      <c r="A99" s="12"/>
      <c r="B99" s="12"/>
      <c r="C99" s="60"/>
    </row>
    <row r="100">
      <c r="A100" s="12"/>
      <c r="B100" s="12"/>
      <c r="C100" s="60"/>
    </row>
    <row r="101">
      <c r="A101" s="12"/>
      <c r="B101" s="12"/>
      <c r="C101" s="60"/>
    </row>
    <row r="102">
      <c r="A102" s="12"/>
      <c r="B102" s="12"/>
      <c r="C102" s="60"/>
    </row>
    <row r="103">
      <c r="A103" s="12"/>
      <c r="B103" s="12"/>
      <c r="C103" s="60"/>
    </row>
    <row r="104">
      <c r="A104" s="12"/>
      <c r="B104" s="12"/>
      <c r="C104" s="60"/>
    </row>
    <row r="105">
      <c r="A105" s="12"/>
      <c r="B105" s="12"/>
      <c r="C105" s="60"/>
    </row>
    <row r="106">
      <c r="A106" s="12"/>
      <c r="B106" s="12"/>
      <c r="C106" s="60"/>
    </row>
    <row r="107">
      <c r="A107" s="12"/>
      <c r="B107" s="12"/>
      <c r="C107" s="60"/>
    </row>
    <row r="108">
      <c r="A108" s="12"/>
      <c r="B108" s="12"/>
      <c r="C108" s="60"/>
    </row>
    <row r="109">
      <c r="A109" s="12"/>
      <c r="B109" s="12"/>
      <c r="C109" s="60"/>
    </row>
    <row r="110">
      <c r="A110" s="12"/>
      <c r="B110" s="12"/>
      <c r="C110" s="60"/>
    </row>
    <row r="111">
      <c r="A111" s="12"/>
      <c r="B111" s="12"/>
      <c r="C111" s="60"/>
    </row>
    <row r="112">
      <c r="A112" s="12"/>
      <c r="B112" s="12"/>
      <c r="C112" s="60"/>
    </row>
    <row r="113">
      <c r="A113" s="12"/>
      <c r="B113" s="12"/>
      <c r="C113" s="60"/>
    </row>
    <row r="114">
      <c r="A114" s="12"/>
      <c r="B114" s="12"/>
      <c r="C114" s="60"/>
    </row>
    <row r="115">
      <c r="A115" s="12"/>
      <c r="B115" s="12"/>
      <c r="C115" s="60"/>
    </row>
    <row r="116">
      <c r="A116" s="12"/>
      <c r="B116" s="12"/>
      <c r="C116" s="60"/>
    </row>
    <row r="117">
      <c r="A117" s="12"/>
      <c r="B117" s="12"/>
      <c r="C117" s="60"/>
    </row>
    <row r="118">
      <c r="A118" s="12"/>
      <c r="B118" s="12"/>
      <c r="C118" s="60"/>
    </row>
    <row r="119">
      <c r="A119" s="12"/>
      <c r="B119" s="12"/>
      <c r="C119" s="60"/>
    </row>
    <row r="120">
      <c r="A120" s="12"/>
      <c r="B120" s="12"/>
      <c r="C120" s="60"/>
    </row>
    <row r="121">
      <c r="A121" s="12"/>
      <c r="B121" s="12"/>
      <c r="C121" s="60"/>
    </row>
    <row r="122">
      <c r="A122" s="12"/>
      <c r="B122" s="12"/>
      <c r="C122" s="60"/>
    </row>
    <row r="123">
      <c r="A123" s="12"/>
      <c r="B123" s="12"/>
      <c r="C123" s="60"/>
    </row>
    <row r="124">
      <c r="A124" s="12"/>
      <c r="B124" s="12"/>
      <c r="C124" s="60"/>
    </row>
    <row r="125">
      <c r="A125" s="12"/>
      <c r="B125" s="12"/>
      <c r="C125" s="60"/>
    </row>
    <row r="126">
      <c r="A126" s="12"/>
      <c r="B126" s="12"/>
      <c r="C126" s="60"/>
    </row>
    <row r="127">
      <c r="A127" s="12"/>
      <c r="B127" s="12"/>
      <c r="C127" s="60"/>
    </row>
    <row r="128">
      <c r="A128" s="12"/>
      <c r="B128" s="12"/>
      <c r="C128" s="60"/>
    </row>
    <row r="129">
      <c r="A129" s="12"/>
      <c r="B129" s="12"/>
      <c r="C129" s="60"/>
    </row>
    <row r="130">
      <c r="A130" s="12"/>
      <c r="B130" s="12"/>
      <c r="C130" s="60"/>
    </row>
    <row r="131">
      <c r="A131" s="12"/>
      <c r="B131" s="12"/>
      <c r="C131" s="60"/>
    </row>
    <row r="132">
      <c r="A132" s="12"/>
      <c r="B132" s="12"/>
      <c r="C132" s="60"/>
    </row>
    <row r="133">
      <c r="A133" s="12"/>
      <c r="B133" s="12"/>
      <c r="C133" s="60"/>
    </row>
    <row r="134">
      <c r="A134" s="12"/>
      <c r="B134" s="12"/>
      <c r="C134" s="60"/>
    </row>
    <row r="135">
      <c r="A135" s="12"/>
      <c r="B135" s="12"/>
      <c r="C135" s="60"/>
    </row>
    <row r="136">
      <c r="A136" s="12"/>
      <c r="B136" s="12"/>
      <c r="C136" s="60"/>
    </row>
    <row r="137">
      <c r="A137" s="12"/>
      <c r="B137" s="12"/>
      <c r="C137" s="60"/>
    </row>
    <row r="138">
      <c r="A138" s="12"/>
      <c r="B138" s="12"/>
      <c r="C138" s="60"/>
    </row>
    <row r="139">
      <c r="A139" s="12"/>
      <c r="B139" s="12"/>
      <c r="C139" s="60"/>
    </row>
    <row r="140">
      <c r="A140" s="12"/>
      <c r="B140" s="12"/>
      <c r="C140" s="60"/>
    </row>
    <row r="141">
      <c r="A141" s="12"/>
      <c r="B141" s="12"/>
      <c r="C141" s="60"/>
    </row>
    <row r="142">
      <c r="A142" s="12"/>
      <c r="B142" s="12"/>
      <c r="C142" s="60"/>
    </row>
    <row r="143">
      <c r="A143" s="12"/>
      <c r="B143" s="12"/>
      <c r="C143" s="60"/>
    </row>
    <row r="144">
      <c r="A144" s="12"/>
      <c r="B144" s="12"/>
      <c r="C144" s="60"/>
    </row>
    <row r="145">
      <c r="A145" s="12"/>
      <c r="B145" s="12"/>
      <c r="C145" s="60"/>
    </row>
    <row r="146">
      <c r="A146" s="12"/>
      <c r="B146" s="12"/>
      <c r="C146" s="60"/>
    </row>
    <row r="147">
      <c r="A147" s="12"/>
      <c r="B147" s="12"/>
      <c r="C147" s="60"/>
    </row>
    <row r="148">
      <c r="A148" s="12"/>
      <c r="B148" s="12"/>
      <c r="C148" s="60"/>
    </row>
    <row r="149">
      <c r="A149" s="12"/>
      <c r="B149" s="12"/>
      <c r="C149" s="60"/>
    </row>
    <row r="150">
      <c r="A150" s="12"/>
      <c r="B150" s="12"/>
      <c r="C150" s="60"/>
    </row>
    <row r="151">
      <c r="A151" s="12"/>
      <c r="B151" s="12"/>
      <c r="C151" s="60"/>
    </row>
    <row r="152">
      <c r="A152" s="12"/>
      <c r="B152" s="12"/>
      <c r="C152" s="60"/>
    </row>
    <row r="153">
      <c r="A153" s="12"/>
      <c r="B153" s="12"/>
      <c r="C153" s="60"/>
    </row>
    <row r="154">
      <c r="A154" s="12"/>
      <c r="B154" s="12"/>
      <c r="C154" s="60"/>
    </row>
    <row r="155">
      <c r="A155" s="12"/>
      <c r="B155" s="12"/>
      <c r="C155" s="60"/>
    </row>
    <row r="156">
      <c r="A156" s="12"/>
      <c r="B156" s="12"/>
      <c r="C156" s="60"/>
    </row>
    <row r="157">
      <c r="A157" s="12"/>
      <c r="B157" s="12"/>
      <c r="C157" s="60"/>
    </row>
    <row r="158">
      <c r="A158" s="12"/>
      <c r="B158" s="12"/>
      <c r="C158" s="60"/>
    </row>
    <row r="159">
      <c r="A159" s="12"/>
      <c r="B159" s="12"/>
      <c r="C159" s="60"/>
    </row>
    <row r="160">
      <c r="A160" s="12"/>
      <c r="B160" s="12"/>
      <c r="C160" s="60"/>
    </row>
    <row r="161">
      <c r="A161" s="12"/>
      <c r="B161" s="12"/>
      <c r="C161" s="60"/>
    </row>
    <row r="162">
      <c r="A162" s="12"/>
      <c r="B162" s="12"/>
      <c r="C162" s="60"/>
    </row>
    <row r="163">
      <c r="A163" s="12"/>
      <c r="B163" s="12"/>
      <c r="C163" s="60"/>
    </row>
    <row r="164">
      <c r="A164" s="12"/>
      <c r="B164" s="12"/>
      <c r="C164" s="60"/>
    </row>
    <row r="165">
      <c r="A165" s="12"/>
      <c r="B165" s="12"/>
      <c r="C165" s="60"/>
    </row>
    <row r="166">
      <c r="A166" s="12"/>
      <c r="B166" s="12"/>
      <c r="C166" s="60"/>
    </row>
    <row r="167">
      <c r="A167" s="12"/>
      <c r="B167" s="12"/>
      <c r="C167" s="60"/>
    </row>
    <row r="168">
      <c r="A168" s="12"/>
      <c r="B168" s="12"/>
      <c r="C168" s="60"/>
    </row>
    <row r="169">
      <c r="A169" s="12"/>
      <c r="B169" s="12"/>
      <c r="C169" s="60"/>
    </row>
    <row r="170">
      <c r="A170" s="12"/>
      <c r="B170" s="12"/>
      <c r="C170" s="60"/>
    </row>
    <row r="171">
      <c r="A171" s="12"/>
      <c r="B171" s="12"/>
      <c r="C171" s="60"/>
    </row>
    <row r="172">
      <c r="A172" s="12"/>
      <c r="B172" s="12"/>
      <c r="C172" s="60"/>
    </row>
    <row r="173">
      <c r="A173" s="12"/>
      <c r="B173" s="12"/>
      <c r="C173" s="60"/>
    </row>
    <row r="174">
      <c r="A174" s="12"/>
      <c r="B174" s="12"/>
      <c r="C174" s="60"/>
    </row>
    <row r="175">
      <c r="A175" s="12"/>
      <c r="B175" s="12"/>
      <c r="C175" s="60"/>
    </row>
    <row r="176">
      <c r="A176" s="12"/>
      <c r="B176" s="12"/>
      <c r="C176" s="60"/>
    </row>
    <row r="177">
      <c r="A177" s="12"/>
      <c r="B177" s="12"/>
      <c r="C177" s="60"/>
    </row>
    <row r="178">
      <c r="A178" s="12"/>
      <c r="B178" s="12"/>
      <c r="C178" s="60"/>
    </row>
    <row r="179">
      <c r="A179" s="12"/>
      <c r="B179" s="12"/>
      <c r="C179" s="60"/>
    </row>
    <row r="180">
      <c r="A180" s="12"/>
      <c r="B180" s="12"/>
      <c r="C180" s="60"/>
    </row>
    <row r="181">
      <c r="A181" s="12"/>
      <c r="B181" s="12"/>
      <c r="C181" s="60"/>
    </row>
    <row r="182">
      <c r="A182" s="12"/>
      <c r="B182" s="12"/>
      <c r="C182" s="60"/>
    </row>
    <row r="183">
      <c r="A183" s="12"/>
      <c r="B183" s="12"/>
      <c r="C183" s="60"/>
    </row>
    <row r="184">
      <c r="A184" s="12"/>
      <c r="B184" s="12"/>
      <c r="C184" s="60"/>
    </row>
    <row r="185">
      <c r="A185" s="12"/>
      <c r="B185" s="12"/>
      <c r="C185" s="60"/>
    </row>
    <row r="186">
      <c r="A186" s="12"/>
      <c r="B186" s="12"/>
      <c r="C186" s="60"/>
    </row>
    <row r="187">
      <c r="A187" s="12"/>
      <c r="B187" s="12"/>
      <c r="C187" s="60"/>
    </row>
    <row r="188">
      <c r="A188" s="12"/>
      <c r="B188" s="12"/>
      <c r="C188" s="60"/>
    </row>
    <row r="189">
      <c r="A189" s="12"/>
      <c r="B189" s="12"/>
      <c r="C189" s="60"/>
    </row>
    <row r="190">
      <c r="A190" s="12"/>
      <c r="B190" s="12"/>
      <c r="C190" s="60"/>
    </row>
    <row r="191">
      <c r="A191" s="12"/>
      <c r="B191" s="12"/>
      <c r="C191" s="60"/>
    </row>
    <row r="192">
      <c r="A192" s="12"/>
      <c r="B192" s="12"/>
      <c r="C192" s="60"/>
    </row>
    <row r="193">
      <c r="A193" s="12"/>
      <c r="B193" s="12"/>
      <c r="C193" s="60"/>
    </row>
    <row r="194">
      <c r="A194" s="12"/>
      <c r="B194" s="12"/>
      <c r="C194" s="60"/>
    </row>
    <row r="195">
      <c r="A195" s="12"/>
      <c r="B195" s="12"/>
      <c r="C195" s="60"/>
    </row>
    <row r="196">
      <c r="A196" s="12"/>
      <c r="B196" s="12"/>
      <c r="C196" s="60"/>
    </row>
    <row r="197">
      <c r="A197" s="12"/>
      <c r="B197" s="12"/>
      <c r="C197" s="60"/>
    </row>
    <row r="198">
      <c r="A198" s="12"/>
      <c r="B198" s="12"/>
      <c r="C198" s="60"/>
    </row>
    <row r="199">
      <c r="A199" s="12"/>
      <c r="B199" s="12"/>
      <c r="C199" s="60"/>
    </row>
    <row r="200">
      <c r="A200" s="12"/>
      <c r="B200" s="12"/>
      <c r="C200" s="60"/>
    </row>
    <row r="201">
      <c r="A201" s="12"/>
      <c r="B201" s="12"/>
      <c r="C201" s="60"/>
    </row>
    <row r="202">
      <c r="A202" s="12"/>
      <c r="B202" s="12"/>
      <c r="C202" s="60"/>
    </row>
    <row r="203">
      <c r="A203" s="12"/>
      <c r="B203" s="12"/>
      <c r="C203" s="60"/>
    </row>
    <row r="204">
      <c r="A204" s="12"/>
      <c r="B204" s="12"/>
      <c r="C204" s="60"/>
    </row>
    <row r="205">
      <c r="A205" s="12"/>
      <c r="B205" s="12"/>
      <c r="C205" s="60"/>
    </row>
    <row r="206">
      <c r="A206" s="12"/>
      <c r="B206" s="12"/>
      <c r="C206" s="60"/>
    </row>
    <row r="207">
      <c r="A207" s="12"/>
      <c r="B207" s="12"/>
      <c r="C207" s="60"/>
    </row>
    <row r="208">
      <c r="A208" s="12"/>
      <c r="B208" s="12"/>
      <c r="C208" s="60"/>
    </row>
    <row r="209">
      <c r="A209" s="12"/>
      <c r="B209" s="12"/>
      <c r="C209" s="60"/>
    </row>
    <row r="210">
      <c r="A210" s="12"/>
      <c r="B210" s="12"/>
      <c r="C210" s="60"/>
    </row>
    <row r="211">
      <c r="A211" s="12"/>
      <c r="B211" s="12"/>
      <c r="C211" s="60"/>
    </row>
    <row r="212">
      <c r="A212" s="12"/>
      <c r="B212" s="12"/>
      <c r="C212" s="60"/>
    </row>
    <row r="213">
      <c r="A213" s="12"/>
      <c r="B213" s="12"/>
      <c r="C213" s="60"/>
    </row>
    <row r="214">
      <c r="A214" s="12"/>
      <c r="B214" s="12"/>
      <c r="C214" s="60"/>
    </row>
    <row r="215">
      <c r="A215" s="12"/>
      <c r="B215" s="12"/>
      <c r="C215" s="60"/>
    </row>
    <row r="216">
      <c r="A216" s="12"/>
      <c r="B216" s="12"/>
      <c r="C216" s="60"/>
    </row>
    <row r="217">
      <c r="A217" s="12"/>
      <c r="B217" s="12"/>
      <c r="C217" s="60"/>
    </row>
    <row r="218">
      <c r="A218" s="12"/>
      <c r="B218" s="12"/>
      <c r="C218" s="60"/>
    </row>
    <row r="219">
      <c r="A219" s="12"/>
      <c r="B219" s="12"/>
      <c r="C219" s="60"/>
    </row>
    <row r="220">
      <c r="A220" s="12"/>
      <c r="B220" s="12"/>
      <c r="C220" s="60"/>
    </row>
    <row r="221">
      <c r="A221" s="12"/>
      <c r="B221" s="12"/>
      <c r="C221" s="60"/>
    </row>
    <row r="222">
      <c r="A222" s="12"/>
      <c r="B222" s="12"/>
      <c r="C222" s="60"/>
    </row>
    <row r="223">
      <c r="A223" s="12"/>
      <c r="B223" s="12"/>
      <c r="C223" s="60"/>
    </row>
    <row r="224">
      <c r="A224" s="12"/>
      <c r="B224" s="12"/>
      <c r="C224" s="60"/>
    </row>
    <row r="225">
      <c r="A225" s="12"/>
      <c r="B225" s="12"/>
      <c r="C225" s="60"/>
    </row>
    <row r="226">
      <c r="A226" s="12"/>
      <c r="B226" s="12"/>
      <c r="C226" s="60"/>
    </row>
    <row r="227">
      <c r="A227" s="12"/>
      <c r="B227" s="12"/>
      <c r="C227" s="60"/>
    </row>
    <row r="228">
      <c r="A228" s="12"/>
      <c r="B228" s="12"/>
      <c r="C228" s="60"/>
    </row>
    <row r="229">
      <c r="A229" s="12"/>
      <c r="B229" s="12"/>
      <c r="C229" s="60"/>
    </row>
    <row r="230">
      <c r="A230" s="12"/>
      <c r="B230" s="12"/>
      <c r="C230" s="60"/>
    </row>
    <row r="231">
      <c r="A231" s="12"/>
      <c r="B231" s="12"/>
      <c r="C231" s="60"/>
    </row>
    <row r="232">
      <c r="A232" s="12"/>
      <c r="B232" s="12"/>
      <c r="C232" s="60"/>
    </row>
    <row r="233">
      <c r="A233" s="12"/>
      <c r="B233" s="12"/>
      <c r="C233" s="60"/>
    </row>
    <row r="234">
      <c r="A234" s="12"/>
      <c r="B234" s="12"/>
      <c r="C234" s="60"/>
    </row>
    <row r="235">
      <c r="A235" s="12"/>
      <c r="B235" s="12"/>
      <c r="C235" s="60"/>
    </row>
    <row r="236">
      <c r="A236" s="12"/>
      <c r="B236" s="12"/>
      <c r="C236" s="60"/>
    </row>
    <row r="237">
      <c r="A237" s="12"/>
      <c r="B237" s="12"/>
      <c r="C237" s="60"/>
    </row>
    <row r="238">
      <c r="A238" s="12"/>
      <c r="B238" s="12"/>
      <c r="C238" s="60"/>
    </row>
    <row r="239">
      <c r="A239" s="12"/>
      <c r="B239" s="12"/>
      <c r="C239" s="60"/>
    </row>
    <row r="240">
      <c r="A240" s="12"/>
      <c r="B240" s="12"/>
      <c r="C240" s="60"/>
    </row>
    <row r="241">
      <c r="A241" s="12"/>
      <c r="B241" s="12"/>
      <c r="C241" s="60"/>
    </row>
    <row r="242">
      <c r="A242" s="12"/>
      <c r="B242" s="12"/>
      <c r="C242" s="60"/>
    </row>
    <row r="243">
      <c r="A243" s="12"/>
      <c r="B243" s="12"/>
      <c r="C243" s="60"/>
    </row>
    <row r="244">
      <c r="A244" s="12"/>
      <c r="B244" s="12"/>
      <c r="C244" s="60"/>
    </row>
    <row r="245">
      <c r="A245" s="12"/>
      <c r="B245" s="12"/>
      <c r="C245" s="60"/>
    </row>
    <row r="246">
      <c r="A246" s="12"/>
      <c r="B246" s="12"/>
      <c r="C246" s="60"/>
    </row>
    <row r="247">
      <c r="A247" s="12"/>
      <c r="B247" s="12"/>
      <c r="C247" s="60"/>
    </row>
    <row r="248">
      <c r="A248" s="12"/>
      <c r="B248" s="12"/>
      <c r="C248" s="60"/>
    </row>
    <row r="249">
      <c r="A249" s="12"/>
      <c r="B249" s="12"/>
      <c r="C249" s="60"/>
    </row>
    <row r="250">
      <c r="A250" s="12"/>
      <c r="B250" s="12"/>
      <c r="C250" s="60"/>
    </row>
    <row r="251">
      <c r="A251" s="12"/>
      <c r="B251" s="12"/>
      <c r="C251" s="60"/>
    </row>
    <row r="252">
      <c r="A252" s="12"/>
      <c r="B252" s="12"/>
      <c r="C252" s="60"/>
    </row>
    <row r="253">
      <c r="A253" s="12"/>
      <c r="B253" s="12"/>
      <c r="C253" s="60"/>
    </row>
    <row r="254">
      <c r="A254" s="12"/>
      <c r="B254" s="12"/>
      <c r="C254" s="60"/>
    </row>
    <row r="255">
      <c r="A255" s="12"/>
      <c r="B255" s="12"/>
      <c r="C255" s="60"/>
    </row>
    <row r="256">
      <c r="A256" s="12"/>
      <c r="B256" s="12"/>
      <c r="C256" s="60"/>
    </row>
    <row r="257">
      <c r="A257" s="12"/>
      <c r="B257" s="12"/>
      <c r="C257" s="60"/>
    </row>
    <row r="258">
      <c r="A258" s="12"/>
      <c r="B258" s="12"/>
      <c r="C258" s="60"/>
    </row>
    <row r="259">
      <c r="A259" s="12"/>
      <c r="B259" s="12"/>
      <c r="C259" s="60"/>
    </row>
    <row r="260">
      <c r="A260" s="12"/>
      <c r="B260" s="12"/>
      <c r="C260" s="60"/>
    </row>
    <row r="261">
      <c r="A261" s="12"/>
      <c r="B261" s="12"/>
      <c r="C261" s="60"/>
    </row>
    <row r="262">
      <c r="A262" s="12"/>
      <c r="B262" s="12"/>
      <c r="C262" s="60"/>
    </row>
    <row r="263">
      <c r="A263" s="12"/>
      <c r="B263" s="12"/>
      <c r="C263" s="60"/>
    </row>
    <row r="264">
      <c r="A264" s="12"/>
      <c r="B264" s="12"/>
      <c r="C264" s="60"/>
    </row>
    <row r="265">
      <c r="A265" s="12"/>
      <c r="B265" s="12"/>
      <c r="C265" s="60"/>
    </row>
    <row r="266">
      <c r="A266" s="12"/>
      <c r="B266" s="12"/>
      <c r="C266" s="60"/>
    </row>
    <row r="267">
      <c r="A267" s="12"/>
      <c r="B267" s="12"/>
      <c r="C267" s="60"/>
    </row>
    <row r="268">
      <c r="A268" s="12"/>
      <c r="B268" s="12"/>
      <c r="C268" s="60"/>
    </row>
    <row r="269">
      <c r="A269" s="12"/>
      <c r="B269" s="12"/>
      <c r="C269" s="60"/>
    </row>
    <row r="270">
      <c r="A270" s="12"/>
      <c r="B270" s="12"/>
      <c r="C270" s="60"/>
    </row>
    <row r="271">
      <c r="A271" s="12"/>
      <c r="B271" s="12"/>
      <c r="C271" s="60"/>
    </row>
    <row r="272">
      <c r="A272" s="12"/>
      <c r="B272" s="12"/>
      <c r="C272" s="60"/>
    </row>
    <row r="273">
      <c r="A273" s="12"/>
      <c r="B273" s="12"/>
      <c r="C273" s="60"/>
    </row>
    <row r="274">
      <c r="A274" s="12"/>
      <c r="B274" s="12"/>
      <c r="C274" s="60"/>
    </row>
    <row r="275">
      <c r="A275" s="12"/>
      <c r="B275" s="12"/>
      <c r="C275" s="60"/>
    </row>
    <row r="276">
      <c r="A276" s="12"/>
      <c r="B276" s="12"/>
      <c r="C276" s="60"/>
    </row>
    <row r="277">
      <c r="A277" s="12"/>
      <c r="B277" s="12"/>
      <c r="C277" s="60"/>
    </row>
    <row r="278">
      <c r="A278" s="12"/>
      <c r="B278" s="12"/>
      <c r="C278" s="60"/>
    </row>
    <row r="279">
      <c r="A279" s="12"/>
      <c r="B279" s="12"/>
      <c r="C279" s="60"/>
    </row>
    <row r="280">
      <c r="A280" s="12"/>
      <c r="B280" s="12"/>
      <c r="C280" s="60"/>
    </row>
    <row r="281">
      <c r="A281" s="12"/>
      <c r="B281" s="12"/>
      <c r="C281" s="60"/>
    </row>
    <row r="282">
      <c r="A282" s="12"/>
      <c r="B282" s="12"/>
      <c r="C282" s="60"/>
    </row>
    <row r="283">
      <c r="A283" s="12"/>
      <c r="B283" s="12"/>
      <c r="C283" s="60"/>
    </row>
    <row r="284">
      <c r="A284" s="12"/>
      <c r="B284" s="12"/>
      <c r="C284" s="60"/>
    </row>
    <row r="285">
      <c r="A285" s="12"/>
      <c r="B285" s="12"/>
      <c r="C285" s="60"/>
    </row>
    <row r="286">
      <c r="A286" s="12"/>
      <c r="B286" s="12"/>
      <c r="C286" s="60"/>
    </row>
    <row r="287">
      <c r="A287" s="12"/>
      <c r="B287" s="12"/>
      <c r="C287" s="60"/>
    </row>
    <row r="288">
      <c r="A288" s="12"/>
      <c r="B288" s="12"/>
      <c r="C288" s="60"/>
    </row>
    <row r="289">
      <c r="A289" s="12"/>
      <c r="B289" s="12"/>
      <c r="C289" s="60"/>
    </row>
    <row r="290">
      <c r="A290" s="12"/>
      <c r="B290" s="12"/>
      <c r="C290" s="60"/>
    </row>
    <row r="291">
      <c r="A291" s="12"/>
      <c r="B291" s="12"/>
      <c r="C291" s="60"/>
    </row>
    <row r="292">
      <c r="A292" s="12"/>
      <c r="B292" s="12"/>
      <c r="C292" s="60"/>
    </row>
    <row r="293">
      <c r="A293" s="12"/>
      <c r="B293" s="12"/>
      <c r="C293" s="60"/>
    </row>
    <row r="294">
      <c r="A294" s="12"/>
      <c r="B294" s="12"/>
      <c r="C294" s="60"/>
    </row>
    <row r="295">
      <c r="A295" s="12"/>
      <c r="B295" s="12"/>
      <c r="C295" s="60"/>
    </row>
    <row r="296">
      <c r="A296" s="12"/>
      <c r="B296" s="12"/>
      <c r="C296" s="60"/>
    </row>
    <row r="297">
      <c r="A297" s="12"/>
      <c r="B297" s="12"/>
      <c r="C297" s="60"/>
    </row>
    <row r="298">
      <c r="A298" s="12"/>
      <c r="B298" s="12"/>
      <c r="C298" s="60"/>
    </row>
    <row r="299">
      <c r="A299" s="12"/>
      <c r="B299" s="12"/>
      <c r="C299" s="60"/>
    </row>
    <row r="300">
      <c r="A300" s="12"/>
      <c r="B300" s="12"/>
      <c r="C300" s="60"/>
    </row>
    <row r="301">
      <c r="A301" s="12"/>
      <c r="B301" s="12"/>
      <c r="C301" s="60"/>
    </row>
    <row r="302">
      <c r="A302" s="12"/>
      <c r="B302" s="12"/>
      <c r="C302" s="60"/>
    </row>
    <row r="303">
      <c r="A303" s="12"/>
      <c r="B303" s="12"/>
      <c r="C303" s="60"/>
    </row>
    <row r="304">
      <c r="A304" s="12"/>
      <c r="B304" s="12"/>
      <c r="C304" s="60"/>
    </row>
    <row r="305">
      <c r="A305" s="12"/>
      <c r="B305" s="12"/>
      <c r="C305" s="60"/>
    </row>
    <row r="306">
      <c r="A306" s="12"/>
      <c r="B306" s="12"/>
      <c r="C306" s="60"/>
    </row>
    <row r="307">
      <c r="A307" s="12"/>
      <c r="B307" s="12"/>
      <c r="C307" s="60"/>
    </row>
    <row r="308">
      <c r="A308" s="12"/>
      <c r="B308" s="12"/>
      <c r="C308" s="60"/>
    </row>
    <row r="309">
      <c r="A309" s="12"/>
      <c r="B309" s="12"/>
      <c r="C309" s="60"/>
    </row>
    <row r="310">
      <c r="A310" s="12"/>
      <c r="B310" s="12"/>
      <c r="C310" s="60"/>
    </row>
    <row r="311">
      <c r="A311" s="12"/>
      <c r="B311" s="12"/>
      <c r="C311" s="60"/>
    </row>
    <row r="312">
      <c r="A312" s="12"/>
      <c r="B312" s="12"/>
      <c r="C312" s="60"/>
    </row>
    <row r="313">
      <c r="A313" s="12"/>
      <c r="B313" s="12"/>
      <c r="C313" s="60"/>
    </row>
    <row r="314">
      <c r="A314" s="12"/>
      <c r="B314" s="12"/>
      <c r="C314" s="60"/>
    </row>
    <row r="315">
      <c r="A315" s="12"/>
      <c r="B315" s="12"/>
      <c r="C315" s="60"/>
    </row>
    <row r="316">
      <c r="A316" s="12"/>
      <c r="B316" s="12"/>
      <c r="C316" s="60"/>
    </row>
    <row r="317">
      <c r="A317" s="12"/>
      <c r="B317" s="12"/>
      <c r="C317" s="60"/>
    </row>
    <row r="318">
      <c r="A318" s="12"/>
      <c r="B318" s="12"/>
      <c r="C318" s="60"/>
    </row>
    <row r="319">
      <c r="A319" s="12"/>
      <c r="B319" s="12"/>
      <c r="C319" s="60"/>
    </row>
    <row r="320">
      <c r="A320" s="12"/>
      <c r="B320" s="12"/>
      <c r="C320" s="60"/>
    </row>
    <row r="321">
      <c r="A321" s="12"/>
      <c r="B321" s="12"/>
      <c r="C321" s="60"/>
    </row>
    <row r="322">
      <c r="A322" s="12"/>
      <c r="B322" s="12"/>
      <c r="C322" s="60"/>
    </row>
    <row r="323">
      <c r="A323" s="12"/>
      <c r="B323" s="12"/>
      <c r="C323" s="60"/>
    </row>
    <row r="324">
      <c r="A324" s="12"/>
      <c r="B324" s="12"/>
      <c r="C324" s="60"/>
    </row>
    <row r="325">
      <c r="A325" s="12"/>
      <c r="B325" s="12"/>
      <c r="C325" s="60"/>
    </row>
    <row r="326">
      <c r="A326" s="12"/>
      <c r="B326" s="12"/>
      <c r="C326" s="60"/>
    </row>
    <row r="327">
      <c r="A327" s="12"/>
      <c r="B327" s="12"/>
      <c r="C327" s="60"/>
    </row>
    <row r="328">
      <c r="A328" s="12"/>
      <c r="B328" s="12"/>
      <c r="C328" s="60"/>
    </row>
    <row r="329">
      <c r="A329" s="12"/>
      <c r="B329" s="12"/>
      <c r="C329" s="60"/>
    </row>
    <row r="330">
      <c r="A330" s="12"/>
      <c r="B330" s="12"/>
      <c r="C330" s="60"/>
    </row>
    <row r="331">
      <c r="A331" s="12"/>
      <c r="B331" s="12"/>
      <c r="C331" s="60"/>
    </row>
    <row r="332">
      <c r="A332" s="12"/>
      <c r="B332" s="12"/>
      <c r="C332" s="60"/>
    </row>
    <row r="333">
      <c r="A333" s="12"/>
      <c r="B333" s="12"/>
      <c r="C333" s="60"/>
    </row>
    <row r="334">
      <c r="A334" s="12"/>
      <c r="B334" s="12"/>
      <c r="C334" s="60"/>
    </row>
    <row r="335">
      <c r="A335" s="12"/>
      <c r="B335" s="12"/>
      <c r="C335" s="60"/>
    </row>
    <row r="336">
      <c r="A336" s="12"/>
      <c r="B336" s="12"/>
      <c r="C336" s="60"/>
    </row>
    <row r="337">
      <c r="A337" s="12"/>
      <c r="B337" s="12"/>
      <c r="C337" s="60"/>
    </row>
    <row r="338">
      <c r="A338" s="12"/>
      <c r="B338" s="12"/>
      <c r="C338" s="60"/>
    </row>
    <row r="339">
      <c r="A339" s="12"/>
      <c r="B339" s="12"/>
      <c r="C339" s="60"/>
    </row>
    <row r="340">
      <c r="A340" s="12"/>
      <c r="B340" s="12"/>
      <c r="C340" s="60"/>
    </row>
    <row r="341">
      <c r="A341" s="12"/>
      <c r="B341" s="12"/>
      <c r="C341" s="60"/>
    </row>
    <row r="342">
      <c r="A342" s="12"/>
      <c r="B342" s="12"/>
      <c r="C342" s="60"/>
    </row>
    <row r="343">
      <c r="A343" s="12"/>
      <c r="B343" s="12"/>
      <c r="C343" s="60"/>
    </row>
    <row r="344">
      <c r="A344" s="12"/>
      <c r="B344" s="12"/>
      <c r="C344" s="60"/>
    </row>
    <row r="345">
      <c r="A345" s="12"/>
      <c r="B345" s="12"/>
      <c r="C345" s="60"/>
    </row>
    <row r="346">
      <c r="A346" s="12"/>
      <c r="B346" s="12"/>
      <c r="C346" s="60"/>
    </row>
    <row r="347">
      <c r="A347" s="12"/>
      <c r="B347" s="12"/>
      <c r="C347" s="60"/>
    </row>
    <row r="348">
      <c r="A348" s="12"/>
      <c r="B348" s="12"/>
      <c r="C348" s="60"/>
    </row>
    <row r="349">
      <c r="A349" s="12"/>
      <c r="B349" s="12"/>
      <c r="C349" s="60"/>
    </row>
    <row r="350">
      <c r="A350" s="12"/>
      <c r="B350" s="12"/>
      <c r="C350" s="60"/>
    </row>
    <row r="351">
      <c r="A351" s="12"/>
      <c r="B351" s="12"/>
      <c r="C351" s="60"/>
    </row>
    <row r="352">
      <c r="A352" s="12"/>
      <c r="B352" s="12"/>
      <c r="C352" s="60"/>
    </row>
    <row r="353">
      <c r="A353" s="12"/>
      <c r="B353" s="12"/>
      <c r="C353" s="60"/>
    </row>
    <row r="354">
      <c r="A354" s="12"/>
      <c r="B354" s="12"/>
      <c r="C354" s="60"/>
    </row>
    <row r="355">
      <c r="A355" s="12"/>
      <c r="B355" s="12"/>
      <c r="C355" s="60"/>
    </row>
    <row r="356">
      <c r="A356" s="12"/>
      <c r="B356" s="12"/>
      <c r="C356" s="60"/>
    </row>
    <row r="357">
      <c r="A357" s="12"/>
      <c r="B357" s="12"/>
      <c r="C357" s="60"/>
    </row>
    <row r="358">
      <c r="A358" s="12"/>
      <c r="B358" s="12"/>
      <c r="C358" s="60"/>
    </row>
    <row r="359">
      <c r="A359" s="12"/>
      <c r="B359" s="12"/>
      <c r="C359" s="60"/>
    </row>
    <row r="360">
      <c r="A360" s="12"/>
      <c r="B360" s="12"/>
      <c r="C360" s="60"/>
    </row>
    <row r="361">
      <c r="A361" s="12"/>
      <c r="B361" s="12"/>
      <c r="C361" s="60"/>
    </row>
    <row r="362">
      <c r="A362" s="12"/>
      <c r="B362" s="12"/>
      <c r="C362" s="60"/>
    </row>
    <row r="363">
      <c r="A363" s="12"/>
      <c r="B363" s="12"/>
      <c r="C363" s="60"/>
    </row>
    <row r="364">
      <c r="A364" s="12"/>
      <c r="B364" s="12"/>
      <c r="C364" s="60"/>
    </row>
    <row r="365">
      <c r="A365" s="12"/>
      <c r="B365" s="12"/>
      <c r="C365" s="60"/>
    </row>
    <row r="366">
      <c r="A366" s="12"/>
      <c r="B366" s="12"/>
      <c r="C366" s="60"/>
    </row>
    <row r="367">
      <c r="A367" s="12"/>
      <c r="B367" s="12"/>
      <c r="C367" s="60"/>
    </row>
    <row r="368">
      <c r="A368" s="12"/>
      <c r="B368" s="12"/>
      <c r="C368" s="60"/>
    </row>
    <row r="369">
      <c r="A369" s="12"/>
      <c r="B369" s="12"/>
      <c r="C369" s="60"/>
    </row>
    <row r="370">
      <c r="A370" s="12"/>
      <c r="B370" s="12"/>
      <c r="C370" s="60"/>
    </row>
    <row r="371">
      <c r="A371" s="12"/>
      <c r="B371" s="12"/>
      <c r="C371" s="60"/>
    </row>
    <row r="372">
      <c r="A372" s="12"/>
      <c r="B372" s="12"/>
      <c r="C372" s="60"/>
    </row>
    <row r="373">
      <c r="A373" s="12"/>
      <c r="B373" s="12"/>
      <c r="C373" s="60"/>
    </row>
    <row r="374">
      <c r="A374" s="12"/>
      <c r="B374" s="12"/>
      <c r="C374" s="60"/>
    </row>
    <row r="375">
      <c r="A375" s="12"/>
      <c r="B375" s="12"/>
      <c r="C375" s="60"/>
    </row>
    <row r="376">
      <c r="A376" s="12"/>
      <c r="B376" s="12"/>
      <c r="C376" s="60"/>
    </row>
    <row r="377">
      <c r="A377" s="12"/>
      <c r="B377" s="12"/>
      <c r="C377" s="60"/>
    </row>
    <row r="378">
      <c r="A378" s="12"/>
      <c r="B378" s="12"/>
      <c r="C378" s="60"/>
    </row>
    <row r="379">
      <c r="A379" s="12"/>
      <c r="B379" s="12"/>
      <c r="C379" s="60"/>
    </row>
    <row r="380">
      <c r="A380" s="12"/>
      <c r="B380" s="12"/>
      <c r="C380" s="60"/>
    </row>
    <row r="381">
      <c r="A381" s="12"/>
      <c r="B381" s="12"/>
      <c r="C381" s="60"/>
    </row>
    <row r="382">
      <c r="A382" s="12"/>
      <c r="B382" s="12"/>
      <c r="C382" s="60"/>
    </row>
    <row r="383">
      <c r="A383" s="12"/>
      <c r="B383" s="12"/>
      <c r="C383" s="60"/>
    </row>
    <row r="384">
      <c r="A384" s="12"/>
      <c r="B384" s="12"/>
      <c r="C384" s="60"/>
    </row>
    <row r="385">
      <c r="A385" s="12"/>
      <c r="B385" s="12"/>
      <c r="C385" s="60"/>
    </row>
    <row r="386">
      <c r="A386" s="12"/>
      <c r="B386" s="12"/>
      <c r="C386" s="60"/>
    </row>
    <row r="387">
      <c r="A387" s="12"/>
      <c r="B387" s="12"/>
      <c r="C387" s="60"/>
    </row>
    <row r="388">
      <c r="A388" s="12"/>
      <c r="B388" s="12"/>
      <c r="C388" s="60"/>
    </row>
    <row r="389">
      <c r="A389" s="12"/>
      <c r="B389" s="12"/>
      <c r="C389" s="60"/>
    </row>
    <row r="390">
      <c r="A390" s="12"/>
      <c r="B390" s="12"/>
      <c r="C390" s="60"/>
    </row>
    <row r="391">
      <c r="A391" s="12"/>
      <c r="B391" s="12"/>
      <c r="C391" s="60"/>
    </row>
    <row r="392">
      <c r="A392" s="12"/>
      <c r="B392" s="12"/>
      <c r="C392" s="60"/>
    </row>
    <row r="393">
      <c r="A393" s="12"/>
      <c r="B393" s="12"/>
      <c r="C393" s="60"/>
    </row>
    <row r="394">
      <c r="A394" s="12"/>
      <c r="B394" s="12"/>
      <c r="C394" s="60"/>
    </row>
    <row r="395">
      <c r="A395" s="12"/>
      <c r="B395" s="12"/>
      <c r="C395" s="60"/>
    </row>
    <row r="396">
      <c r="A396" s="12"/>
      <c r="B396" s="12"/>
      <c r="C396" s="60"/>
    </row>
    <row r="397">
      <c r="A397" s="12"/>
      <c r="B397" s="12"/>
      <c r="C397" s="60"/>
    </row>
    <row r="398">
      <c r="A398" s="12"/>
      <c r="B398" s="12"/>
      <c r="C398" s="60"/>
    </row>
    <row r="399">
      <c r="A399" s="12"/>
      <c r="B399" s="12"/>
      <c r="C399" s="60"/>
    </row>
    <row r="400">
      <c r="A400" s="12"/>
      <c r="B400" s="12"/>
      <c r="C400" s="60"/>
    </row>
    <row r="401">
      <c r="A401" s="12"/>
      <c r="B401" s="12"/>
      <c r="C401" s="60"/>
    </row>
    <row r="402">
      <c r="A402" s="12"/>
      <c r="B402" s="12"/>
      <c r="C402" s="60"/>
    </row>
    <row r="403">
      <c r="A403" s="12"/>
      <c r="B403" s="12"/>
      <c r="C403" s="60"/>
    </row>
    <row r="404">
      <c r="A404" s="12"/>
      <c r="B404" s="12"/>
      <c r="C404" s="60"/>
    </row>
    <row r="405">
      <c r="A405" s="12"/>
      <c r="B405" s="12"/>
      <c r="C405" s="60"/>
    </row>
    <row r="406">
      <c r="A406" s="12"/>
      <c r="B406" s="12"/>
      <c r="C406" s="60"/>
    </row>
    <row r="407">
      <c r="A407" s="12"/>
      <c r="B407" s="12"/>
      <c r="C407" s="60"/>
    </row>
    <row r="408">
      <c r="A408" s="12"/>
      <c r="B408" s="12"/>
      <c r="C408" s="60"/>
    </row>
    <row r="409">
      <c r="A409" s="12"/>
      <c r="B409" s="12"/>
      <c r="C409" s="60"/>
    </row>
    <row r="410">
      <c r="A410" s="12"/>
      <c r="B410" s="12"/>
      <c r="C410" s="60"/>
    </row>
    <row r="411">
      <c r="A411" s="12"/>
      <c r="B411" s="12"/>
      <c r="C411" s="60"/>
    </row>
    <row r="412">
      <c r="A412" s="12"/>
      <c r="B412" s="12"/>
      <c r="C412" s="60"/>
    </row>
    <row r="413">
      <c r="A413" s="12"/>
      <c r="B413" s="12"/>
      <c r="C413" s="60"/>
    </row>
    <row r="414">
      <c r="A414" s="12"/>
      <c r="B414" s="12"/>
      <c r="C414" s="60"/>
    </row>
    <row r="415">
      <c r="A415" s="12"/>
      <c r="B415" s="12"/>
      <c r="C415" s="60"/>
    </row>
    <row r="416">
      <c r="A416" s="12"/>
      <c r="B416" s="12"/>
      <c r="C416" s="60"/>
    </row>
    <row r="417">
      <c r="A417" s="12"/>
      <c r="B417" s="12"/>
      <c r="C417" s="60"/>
    </row>
    <row r="418">
      <c r="A418" s="12"/>
      <c r="B418" s="12"/>
      <c r="C418" s="60"/>
    </row>
    <row r="419">
      <c r="A419" s="12"/>
      <c r="B419" s="12"/>
      <c r="C419" s="60"/>
    </row>
    <row r="420">
      <c r="A420" s="12"/>
      <c r="B420" s="12"/>
      <c r="C420" s="60"/>
    </row>
    <row r="421">
      <c r="A421" s="12"/>
      <c r="B421" s="12"/>
      <c r="C421" s="60"/>
    </row>
    <row r="422">
      <c r="A422" s="12"/>
      <c r="B422" s="12"/>
      <c r="C422" s="60"/>
    </row>
    <row r="423">
      <c r="A423" s="12"/>
      <c r="B423" s="12"/>
      <c r="C423" s="60"/>
    </row>
    <row r="424">
      <c r="A424" s="12"/>
      <c r="B424" s="12"/>
      <c r="C424" s="60"/>
    </row>
    <row r="425">
      <c r="A425" s="12"/>
      <c r="B425" s="12"/>
      <c r="C425" s="60"/>
    </row>
    <row r="426">
      <c r="A426" s="12"/>
      <c r="B426" s="12"/>
      <c r="C426" s="60"/>
    </row>
    <row r="427">
      <c r="A427" s="12"/>
      <c r="B427" s="12"/>
      <c r="C427" s="60"/>
    </row>
    <row r="428">
      <c r="A428" s="12"/>
      <c r="B428" s="12"/>
      <c r="C428" s="60"/>
    </row>
    <row r="429">
      <c r="A429" s="12"/>
      <c r="B429" s="12"/>
      <c r="C429" s="60"/>
    </row>
    <row r="430">
      <c r="A430" s="12"/>
      <c r="B430" s="12"/>
      <c r="C430" s="60"/>
    </row>
    <row r="431">
      <c r="A431" s="12"/>
      <c r="B431" s="12"/>
      <c r="C431" s="60"/>
    </row>
    <row r="432">
      <c r="A432" s="12"/>
      <c r="B432" s="12"/>
      <c r="C432" s="60"/>
    </row>
    <row r="433">
      <c r="A433" s="12"/>
      <c r="B433" s="12"/>
      <c r="C433" s="60"/>
    </row>
    <row r="434">
      <c r="A434" s="12"/>
      <c r="B434" s="12"/>
      <c r="C434" s="60"/>
    </row>
    <row r="435">
      <c r="A435" s="12"/>
      <c r="B435" s="12"/>
      <c r="C435" s="60"/>
    </row>
    <row r="436">
      <c r="A436" s="12"/>
      <c r="B436" s="12"/>
      <c r="C436" s="60"/>
    </row>
    <row r="437">
      <c r="A437" s="12"/>
      <c r="B437" s="12"/>
      <c r="C437" s="60"/>
    </row>
    <row r="438">
      <c r="A438" s="12"/>
      <c r="B438" s="12"/>
      <c r="C438" s="60"/>
    </row>
    <row r="439">
      <c r="A439" s="12"/>
      <c r="B439" s="12"/>
      <c r="C439" s="60"/>
    </row>
    <row r="440">
      <c r="A440" s="12"/>
      <c r="B440" s="12"/>
      <c r="C440" s="60"/>
    </row>
    <row r="441">
      <c r="A441" s="12"/>
      <c r="B441" s="12"/>
      <c r="C441" s="60"/>
    </row>
    <row r="442">
      <c r="A442" s="12"/>
      <c r="B442" s="12"/>
      <c r="C442" s="60"/>
    </row>
    <row r="443">
      <c r="A443" s="12"/>
      <c r="B443" s="12"/>
      <c r="C443" s="60"/>
    </row>
    <row r="444">
      <c r="A444" s="12"/>
      <c r="B444" s="12"/>
      <c r="C444" s="60"/>
    </row>
    <row r="445">
      <c r="A445" s="12"/>
      <c r="B445" s="12"/>
      <c r="C445" s="60"/>
    </row>
    <row r="446">
      <c r="A446" s="12"/>
      <c r="B446" s="12"/>
      <c r="C446" s="60"/>
    </row>
    <row r="447">
      <c r="A447" s="12"/>
      <c r="B447" s="12"/>
      <c r="C447" s="60"/>
    </row>
    <row r="448">
      <c r="A448" s="12"/>
      <c r="B448" s="12"/>
      <c r="C448" s="60"/>
    </row>
    <row r="449">
      <c r="A449" s="12"/>
      <c r="B449" s="12"/>
      <c r="C449" s="60"/>
    </row>
    <row r="450">
      <c r="A450" s="12"/>
      <c r="B450" s="12"/>
      <c r="C450" s="60"/>
    </row>
    <row r="451">
      <c r="A451" s="12"/>
      <c r="B451" s="12"/>
      <c r="C451" s="60"/>
    </row>
    <row r="452">
      <c r="A452" s="12"/>
      <c r="B452" s="12"/>
      <c r="C452" s="60"/>
    </row>
    <row r="453">
      <c r="A453" s="12"/>
      <c r="B453" s="12"/>
      <c r="C453" s="60"/>
    </row>
    <row r="454">
      <c r="A454" s="12"/>
      <c r="B454" s="12"/>
      <c r="C454" s="60"/>
    </row>
    <row r="455">
      <c r="A455" s="12"/>
      <c r="B455" s="12"/>
      <c r="C455" s="60"/>
    </row>
    <row r="456">
      <c r="A456" s="12"/>
      <c r="B456" s="12"/>
      <c r="C456" s="60"/>
    </row>
    <row r="457">
      <c r="A457" s="12"/>
      <c r="B457" s="12"/>
      <c r="C457" s="60"/>
    </row>
    <row r="458">
      <c r="A458" s="12"/>
      <c r="B458" s="12"/>
      <c r="C458" s="60"/>
    </row>
    <row r="459">
      <c r="A459" s="12"/>
      <c r="B459" s="12"/>
      <c r="C459" s="60"/>
    </row>
    <row r="460">
      <c r="A460" s="12"/>
      <c r="B460" s="12"/>
      <c r="C460" s="60"/>
    </row>
    <row r="461">
      <c r="A461" s="12"/>
      <c r="B461" s="12"/>
      <c r="C461" s="60"/>
    </row>
    <row r="462">
      <c r="A462" s="12"/>
      <c r="B462" s="12"/>
      <c r="C462" s="60"/>
    </row>
    <row r="463">
      <c r="A463" s="12"/>
      <c r="B463" s="12"/>
      <c r="C463" s="60"/>
    </row>
    <row r="464">
      <c r="A464" s="12"/>
      <c r="B464" s="12"/>
      <c r="C464" s="60"/>
    </row>
    <row r="465">
      <c r="A465" s="12"/>
      <c r="B465" s="12"/>
      <c r="C465" s="60"/>
    </row>
    <row r="466">
      <c r="A466" s="12"/>
      <c r="B466" s="12"/>
      <c r="C466" s="60"/>
    </row>
    <row r="467">
      <c r="A467" s="12"/>
      <c r="B467" s="12"/>
      <c r="C467" s="60"/>
    </row>
    <row r="468">
      <c r="A468" s="12"/>
      <c r="B468" s="12"/>
      <c r="C468" s="60"/>
    </row>
    <row r="469">
      <c r="A469" s="12"/>
      <c r="B469" s="12"/>
      <c r="C469" s="60"/>
    </row>
    <row r="470">
      <c r="A470" s="12"/>
      <c r="B470" s="12"/>
      <c r="C470" s="60"/>
    </row>
    <row r="471">
      <c r="A471" s="12"/>
      <c r="B471" s="12"/>
      <c r="C471" s="60"/>
    </row>
    <row r="472">
      <c r="A472" s="12"/>
      <c r="B472" s="12"/>
      <c r="C472" s="60"/>
    </row>
    <row r="473">
      <c r="A473" s="12"/>
      <c r="B473" s="12"/>
      <c r="C473" s="60"/>
    </row>
    <row r="474">
      <c r="A474" s="12"/>
      <c r="B474" s="12"/>
      <c r="C474" s="60"/>
    </row>
    <row r="475">
      <c r="A475" s="12"/>
      <c r="B475" s="12"/>
      <c r="C475" s="60"/>
    </row>
    <row r="476">
      <c r="A476" s="12"/>
      <c r="B476" s="12"/>
      <c r="C476" s="60"/>
    </row>
    <row r="477">
      <c r="A477" s="12"/>
      <c r="B477" s="12"/>
      <c r="C477" s="60"/>
    </row>
    <row r="478">
      <c r="A478" s="12"/>
      <c r="B478" s="12"/>
      <c r="C478" s="60"/>
    </row>
    <row r="479">
      <c r="A479" s="12"/>
      <c r="B479" s="12"/>
      <c r="C479" s="60"/>
    </row>
    <row r="480">
      <c r="A480" s="12"/>
      <c r="B480" s="12"/>
      <c r="C480" s="60"/>
    </row>
    <row r="481">
      <c r="A481" s="12"/>
      <c r="B481" s="12"/>
      <c r="C481" s="60"/>
    </row>
    <row r="482">
      <c r="A482" s="12"/>
      <c r="B482" s="12"/>
      <c r="C482" s="60"/>
    </row>
    <row r="483">
      <c r="A483" s="12"/>
      <c r="B483" s="12"/>
      <c r="C483" s="60"/>
    </row>
    <row r="484">
      <c r="A484" s="12"/>
      <c r="B484" s="12"/>
      <c r="C484" s="60"/>
    </row>
    <row r="485">
      <c r="A485" s="12"/>
      <c r="B485" s="12"/>
      <c r="C485" s="60"/>
    </row>
    <row r="486">
      <c r="A486" s="12"/>
      <c r="B486" s="12"/>
      <c r="C486" s="60"/>
    </row>
    <row r="487">
      <c r="A487" s="12"/>
      <c r="B487" s="12"/>
      <c r="C487" s="60"/>
    </row>
    <row r="488">
      <c r="A488" s="12"/>
      <c r="B488" s="12"/>
      <c r="C488" s="60"/>
    </row>
    <row r="489">
      <c r="A489" s="12"/>
      <c r="B489" s="12"/>
      <c r="C489" s="60"/>
    </row>
    <row r="490">
      <c r="A490" s="12"/>
      <c r="B490" s="12"/>
      <c r="C490" s="60"/>
    </row>
    <row r="491">
      <c r="A491" s="12"/>
      <c r="B491" s="12"/>
      <c r="C491" s="60"/>
    </row>
    <row r="492">
      <c r="A492" s="12"/>
      <c r="B492" s="12"/>
      <c r="C492" s="60"/>
    </row>
    <row r="493">
      <c r="A493" s="12"/>
      <c r="B493" s="12"/>
      <c r="C493" s="60"/>
    </row>
    <row r="494">
      <c r="A494" s="12"/>
      <c r="B494" s="12"/>
      <c r="C494" s="60"/>
    </row>
    <row r="495">
      <c r="A495" s="12"/>
      <c r="B495" s="12"/>
      <c r="C495" s="60"/>
    </row>
    <row r="496">
      <c r="A496" s="12"/>
      <c r="B496" s="12"/>
      <c r="C496" s="60"/>
    </row>
    <row r="497">
      <c r="A497" s="12"/>
      <c r="B497" s="12"/>
      <c r="C497" s="60"/>
    </row>
    <row r="498">
      <c r="A498" s="12"/>
      <c r="B498" s="12"/>
      <c r="C498" s="60"/>
    </row>
    <row r="499">
      <c r="A499" s="12"/>
      <c r="B499" s="12"/>
      <c r="C499" s="60"/>
    </row>
    <row r="500">
      <c r="A500" s="12"/>
      <c r="B500" s="12"/>
      <c r="C500" s="60"/>
    </row>
    <row r="501">
      <c r="A501" s="12"/>
      <c r="B501" s="12"/>
      <c r="C501" s="60"/>
    </row>
    <row r="502">
      <c r="A502" s="12"/>
      <c r="B502" s="12"/>
      <c r="C502" s="60"/>
    </row>
    <row r="503">
      <c r="A503" s="12"/>
      <c r="B503" s="12"/>
      <c r="C503" s="60"/>
    </row>
    <row r="504">
      <c r="A504" s="12"/>
      <c r="B504" s="12"/>
      <c r="C504" s="60"/>
    </row>
    <row r="505">
      <c r="A505" s="12"/>
      <c r="B505" s="12"/>
      <c r="C505" s="60"/>
    </row>
    <row r="506">
      <c r="A506" s="12"/>
      <c r="B506" s="12"/>
      <c r="C506" s="60"/>
    </row>
    <row r="507">
      <c r="A507" s="12"/>
      <c r="B507" s="12"/>
      <c r="C507" s="60"/>
    </row>
    <row r="508">
      <c r="A508" s="12"/>
      <c r="B508" s="12"/>
      <c r="C508" s="60"/>
    </row>
    <row r="509">
      <c r="A509" s="12"/>
      <c r="B509" s="12"/>
      <c r="C509" s="60"/>
    </row>
    <row r="510">
      <c r="A510" s="12"/>
      <c r="B510" s="12"/>
      <c r="C510" s="60"/>
    </row>
    <row r="511">
      <c r="A511" s="12"/>
      <c r="B511" s="12"/>
      <c r="C511" s="60"/>
    </row>
    <row r="512">
      <c r="A512" s="12"/>
      <c r="B512" s="12"/>
      <c r="C512" s="60"/>
    </row>
    <row r="513">
      <c r="A513" s="12"/>
      <c r="B513" s="12"/>
      <c r="C513" s="60"/>
    </row>
    <row r="514">
      <c r="A514" s="12"/>
      <c r="B514" s="12"/>
      <c r="C514" s="60"/>
    </row>
    <row r="515">
      <c r="A515" s="12"/>
      <c r="B515" s="12"/>
      <c r="C515" s="60"/>
    </row>
    <row r="516">
      <c r="A516" s="12"/>
      <c r="B516" s="12"/>
      <c r="C516" s="60"/>
    </row>
    <row r="517">
      <c r="A517" s="12"/>
      <c r="B517" s="12"/>
      <c r="C517" s="60"/>
    </row>
    <row r="518">
      <c r="A518" s="12"/>
      <c r="B518" s="12"/>
      <c r="C518" s="60"/>
    </row>
    <row r="519">
      <c r="A519" s="12"/>
      <c r="B519" s="12"/>
      <c r="C519" s="60"/>
    </row>
    <row r="520">
      <c r="A520" s="12"/>
      <c r="B520" s="12"/>
      <c r="C520" s="60"/>
    </row>
    <row r="521">
      <c r="A521" s="12"/>
      <c r="B521" s="12"/>
      <c r="C521" s="60"/>
    </row>
    <row r="522">
      <c r="A522" s="12"/>
      <c r="B522" s="12"/>
      <c r="C522" s="60"/>
    </row>
    <row r="523">
      <c r="A523" s="12"/>
      <c r="B523" s="12"/>
      <c r="C523" s="60"/>
    </row>
    <row r="524">
      <c r="A524" s="12"/>
      <c r="B524" s="12"/>
      <c r="C524" s="60"/>
    </row>
    <row r="525">
      <c r="A525" s="12"/>
      <c r="B525" s="12"/>
      <c r="C525" s="60"/>
    </row>
    <row r="526">
      <c r="A526" s="12"/>
      <c r="B526" s="12"/>
      <c r="C526" s="60"/>
    </row>
    <row r="527">
      <c r="A527" s="12"/>
      <c r="B527" s="12"/>
      <c r="C527" s="60"/>
    </row>
    <row r="528">
      <c r="A528" s="12"/>
      <c r="B528" s="12"/>
      <c r="C528" s="60"/>
    </row>
    <row r="529">
      <c r="A529" s="12"/>
      <c r="B529" s="12"/>
      <c r="C529" s="60"/>
    </row>
    <row r="530">
      <c r="A530" s="12"/>
      <c r="B530" s="12"/>
      <c r="C530" s="60"/>
    </row>
    <row r="531">
      <c r="A531" s="12"/>
      <c r="B531" s="12"/>
      <c r="C531" s="60"/>
    </row>
    <row r="532">
      <c r="A532" s="12"/>
      <c r="B532" s="12"/>
      <c r="C532" s="60"/>
    </row>
    <row r="533">
      <c r="A533" s="12"/>
      <c r="B533" s="12"/>
      <c r="C533" s="60"/>
    </row>
    <row r="534">
      <c r="A534" s="12"/>
      <c r="B534" s="12"/>
      <c r="C534" s="60"/>
    </row>
    <row r="535">
      <c r="A535" s="12"/>
      <c r="B535" s="12"/>
      <c r="C535" s="60"/>
    </row>
    <row r="536">
      <c r="A536" s="12"/>
      <c r="B536" s="12"/>
      <c r="C536" s="60"/>
    </row>
    <row r="537">
      <c r="A537" s="12"/>
      <c r="B537" s="12"/>
      <c r="C537" s="60"/>
    </row>
    <row r="538">
      <c r="A538" s="12"/>
      <c r="B538" s="12"/>
      <c r="C538" s="60"/>
    </row>
    <row r="539">
      <c r="A539" s="12"/>
      <c r="B539" s="12"/>
      <c r="C539" s="60"/>
    </row>
    <row r="540">
      <c r="A540" s="12"/>
      <c r="B540" s="12"/>
      <c r="C540" s="60"/>
    </row>
    <row r="541">
      <c r="A541" s="12"/>
      <c r="B541" s="12"/>
      <c r="C541" s="60"/>
    </row>
    <row r="542">
      <c r="A542" s="12"/>
      <c r="B542" s="12"/>
      <c r="C542" s="60"/>
    </row>
    <row r="543">
      <c r="A543" s="12"/>
      <c r="B543" s="12"/>
      <c r="C543" s="60"/>
    </row>
    <row r="544">
      <c r="A544" s="12"/>
      <c r="B544" s="12"/>
      <c r="C544" s="60"/>
    </row>
    <row r="545">
      <c r="A545" s="12"/>
      <c r="B545" s="12"/>
      <c r="C545" s="60"/>
    </row>
    <row r="546">
      <c r="A546" s="12"/>
      <c r="B546" s="12"/>
      <c r="C546" s="60"/>
    </row>
    <row r="547">
      <c r="A547" s="12"/>
      <c r="B547" s="12"/>
      <c r="C547" s="60"/>
    </row>
    <row r="548">
      <c r="A548" s="12"/>
      <c r="B548" s="12"/>
      <c r="C548" s="60"/>
    </row>
    <row r="549">
      <c r="A549" s="12"/>
      <c r="B549" s="12"/>
      <c r="C549" s="60"/>
    </row>
    <row r="550">
      <c r="A550" s="12"/>
      <c r="B550" s="12"/>
      <c r="C550" s="60"/>
    </row>
    <row r="551">
      <c r="A551" s="12"/>
      <c r="B551" s="12"/>
      <c r="C551" s="60"/>
    </row>
    <row r="552">
      <c r="A552" s="12"/>
      <c r="B552" s="12"/>
      <c r="C552" s="60"/>
    </row>
    <row r="553">
      <c r="A553" s="12"/>
      <c r="B553" s="12"/>
      <c r="C553" s="60"/>
    </row>
    <row r="554">
      <c r="A554" s="12"/>
      <c r="B554" s="12"/>
      <c r="C554" s="60"/>
    </row>
    <row r="555">
      <c r="A555" s="12"/>
      <c r="B555" s="12"/>
      <c r="C555" s="60"/>
    </row>
    <row r="556">
      <c r="A556" s="12"/>
      <c r="B556" s="12"/>
      <c r="C556" s="60"/>
    </row>
    <row r="557">
      <c r="A557" s="12"/>
      <c r="B557" s="12"/>
      <c r="C557" s="60"/>
    </row>
    <row r="558">
      <c r="A558" s="12"/>
      <c r="B558" s="12"/>
      <c r="C558" s="60"/>
    </row>
    <row r="559">
      <c r="A559" s="12"/>
      <c r="B559" s="12"/>
      <c r="C559" s="60"/>
    </row>
    <row r="560">
      <c r="A560" s="12"/>
      <c r="B560" s="12"/>
      <c r="C560" s="60"/>
    </row>
    <row r="561">
      <c r="A561" s="12"/>
      <c r="B561" s="12"/>
      <c r="C561" s="60"/>
    </row>
    <row r="562">
      <c r="A562" s="12"/>
      <c r="B562" s="12"/>
      <c r="C562" s="60"/>
    </row>
    <row r="563">
      <c r="A563" s="12"/>
      <c r="B563" s="12"/>
      <c r="C563" s="60"/>
    </row>
    <row r="564">
      <c r="A564" s="12"/>
      <c r="B564" s="12"/>
      <c r="C564" s="60"/>
    </row>
    <row r="565">
      <c r="A565" s="12"/>
      <c r="B565" s="12"/>
      <c r="C565" s="60"/>
    </row>
    <row r="566">
      <c r="A566" s="12"/>
      <c r="B566" s="12"/>
      <c r="C566" s="60"/>
    </row>
    <row r="567">
      <c r="A567" s="12"/>
      <c r="B567" s="12"/>
      <c r="C567" s="60"/>
    </row>
    <row r="568">
      <c r="A568" s="12"/>
      <c r="B568" s="12"/>
      <c r="C568" s="60"/>
    </row>
    <row r="569">
      <c r="A569" s="12"/>
      <c r="B569" s="12"/>
      <c r="C569" s="60"/>
    </row>
    <row r="570">
      <c r="A570" s="12"/>
      <c r="B570" s="12"/>
      <c r="C570" s="60"/>
    </row>
    <row r="571">
      <c r="A571" s="12"/>
      <c r="B571" s="12"/>
      <c r="C571" s="60"/>
    </row>
    <row r="572">
      <c r="A572" s="12"/>
      <c r="B572" s="12"/>
      <c r="C572" s="60"/>
    </row>
    <row r="573">
      <c r="A573" s="12"/>
      <c r="B573" s="12"/>
      <c r="C573" s="60"/>
    </row>
    <row r="574">
      <c r="A574" s="12"/>
      <c r="B574" s="12"/>
      <c r="C574" s="60"/>
    </row>
    <row r="575">
      <c r="A575" s="12"/>
      <c r="B575" s="12"/>
      <c r="C575" s="60"/>
    </row>
    <row r="576">
      <c r="A576" s="12"/>
      <c r="B576" s="12"/>
      <c r="C576" s="60"/>
    </row>
    <row r="577">
      <c r="A577" s="12"/>
      <c r="B577" s="12"/>
      <c r="C577" s="60"/>
    </row>
    <row r="578">
      <c r="A578" s="12"/>
      <c r="B578" s="12"/>
      <c r="C578" s="60"/>
    </row>
    <row r="579">
      <c r="A579" s="12"/>
      <c r="B579" s="12"/>
      <c r="C579" s="60"/>
    </row>
    <row r="580">
      <c r="A580" s="12"/>
      <c r="B580" s="12"/>
      <c r="C580" s="60"/>
    </row>
    <row r="581">
      <c r="A581" s="12"/>
      <c r="B581" s="12"/>
      <c r="C581" s="60"/>
    </row>
    <row r="582">
      <c r="A582" s="12"/>
      <c r="B582" s="12"/>
      <c r="C582" s="60"/>
    </row>
    <row r="583">
      <c r="A583" s="12"/>
      <c r="B583" s="12"/>
      <c r="C583" s="60"/>
    </row>
    <row r="584">
      <c r="A584" s="12"/>
      <c r="B584" s="12"/>
      <c r="C584" s="60"/>
    </row>
    <row r="585">
      <c r="A585" s="12"/>
      <c r="B585" s="12"/>
      <c r="C585" s="60"/>
    </row>
    <row r="586">
      <c r="A586" s="12"/>
      <c r="B586" s="12"/>
      <c r="C586" s="60"/>
    </row>
    <row r="587">
      <c r="A587" s="12"/>
      <c r="B587" s="12"/>
      <c r="C587" s="60"/>
    </row>
    <row r="588">
      <c r="A588" s="12"/>
      <c r="B588" s="12"/>
      <c r="C588" s="60"/>
    </row>
    <row r="589">
      <c r="A589" s="12"/>
      <c r="B589" s="12"/>
      <c r="C589" s="60"/>
    </row>
    <row r="590">
      <c r="A590" s="12"/>
      <c r="B590" s="12"/>
      <c r="C590" s="60"/>
    </row>
    <row r="591">
      <c r="A591" s="12"/>
      <c r="B591" s="12"/>
      <c r="C591" s="60"/>
    </row>
    <row r="592">
      <c r="A592" s="12"/>
      <c r="B592" s="12"/>
      <c r="C592" s="60"/>
    </row>
    <row r="593">
      <c r="A593" s="12"/>
      <c r="B593" s="12"/>
      <c r="C593" s="60"/>
    </row>
    <row r="594">
      <c r="A594" s="12"/>
      <c r="B594" s="12"/>
      <c r="C594" s="60"/>
    </row>
    <row r="595">
      <c r="A595" s="12"/>
      <c r="B595" s="12"/>
      <c r="C595" s="60"/>
    </row>
    <row r="596">
      <c r="A596" s="12"/>
      <c r="B596" s="12"/>
      <c r="C596" s="60"/>
    </row>
    <row r="597">
      <c r="A597" s="12"/>
      <c r="B597" s="12"/>
      <c r="C597" s="60"/>
    </row>
    <row r="598">
      <c r="A598" s="12"/>
      <c r="B598" s="12"/>
      <c r="C598" s="60"/>
    </row>
    <row r="599">
      <c r="A599" s="12"/>
      <c r="B599" s="12"/>
      <c r="C599" s="60"/>
    </row>
    <row r="600">
      <c r="A600" s="12"/>
      <c r="B600" s="12"/>
      <c r="C600" s="60"/>
    </row>
    <row r="601">
      <c r="A601" s="12"/>
      <c r="B601" s="12"/>
      <c r="C601" s="60"/>
    </row>
    <row r="602">
      <c r="A602" s="12"/>
      <c r="B602" s="12"/>
      <c r="C602" s="60"/>
    </row>
    <row r="603">
      <c r="A603" s="12"/>
      <c r="B603" s="12"/>
      <c r="C603" s="60"/>
    </row>
    <row r="604">
      <c r="A604" s="12"/>
      <c r="B604" s="12"/>
      <c r="C604" s="60"/>
    </row>
    <row r="605">
      <c r="A605" s="12"/>
      <c r="B605" s="12"/>
      <c r="C605" s="60"/>
    </row>
    <row r="606">
      <c r="A606" s="12"/>
      <c r="B606" s="12"/>
      <c r="C606" s="60"/>
    </row>
    <row r="607">
      <c r="A607" s="12"/>
      <c r="B607" s="12"/>
      <c r="C607" s="60"/>
    </row>
    <row r="608">
      <c r="A608" s="12"/>
      <c r="B608" s="12"/>
      <c r="C608" s="60"/>
    </row>
    <row r="609">
      <c r="A609" s="12"/>
      <c r="B609" s="12"/>
      <c r="C609" s="60"/>
    </row>
    <row r="610">
      <c r="A610" s="12"/>
      <c r="B610" s="12"/>
      <c r="C610" s="60"/>
    </row>
    <row r="611">
      <c r="A611" s="12"/>
      <c r="B611" s="12"/>
      <c r="C611" s="60"/>
    </row>
    <row r="612">
      <c r="A612" s="12"/>
      <c r="B612" s="12"/>
      <c r="C612" s="60"/>
    </row>
    <row r="613">
      <c r="A613" s="12"/>
      <c r="B613" s="12"/>
      <c r="C613" s="60"/>
    </row>
    <row r="614">
      <c r="A614" s="12"/>
      <c r="B614" s="12"/>
      <c r="C614" s="60"/>
    </row>
    <row r="615">
      <c r="A615" s="12"/>
      <c r="B615" s="12"/>
      <c r="C615" s="60"/>
    </row>
    <row r="616">
      <c r="A616" s="12"/>
      <c r="B616" s="12"/>
      <c r="C616" s="60"/>
    </row>
    <row r="617">
      <c r="A617" s="12"/>
      <c r="B617" s="12"/>
      <c r="C617" s="60"/>
    </row>
    <row r="618">
      <c r="A618" s="12"/>
      <c r="B618" s="12"/>
      <c r="C618" s="60"/>
    </row>
    <row r="619">
      <c r="A619" s="12"/>
      <c r="B619" s="12"/>
      <c r="C619" s="60"/>
    </row>
    <row r="620">
      <c r="A620" s="12"/>
      <c r="B620" s="12"/>
      <c r="C620" s="60"/>
    </row>
    <row r="621">
      <c r="A621" s="12"/>
      <c r="B621" s="12"/>
      <c r="C621" s="60"/>
    </row>
    <row r="622">
      <c r="A622" s="12"/>
      <c r="B622" s="12"/>
      <c r="C622" s="60"/>
    </row>
    <row r="623">
      <c r="A623" s="12"/>
      <c r="B623" s="12"/>
      <c r="C623" s="60"/>
    </row>
    <row r="624">
      <c r="A624" s="12"/>
      <c r="B624" s="12"/>
      <c r="C624" s="60"/>
    </row>
    <row r="625">
      <c r="A625" s="12"/>
      <c r="B625" s="12"/>
      <c r="C625" s="60"/>
    </row>
    <row r="626">
      <c r="A626" s="12"/>
      <c r="B626" s="12"/>
      <c r="C626" s="60"/>
    </row>
    <row r="627">
      <c r="A627" s="12"/>
      <c r="B627" s="12"/>
      <c r="C627" s="60"/>
    </row>
    <row r="628">
      <c r="A628" s="12"/>
      <c r="B628" s="12"/>
      <c r="C628" s="60"/>
    </row>
    <row r="629">
      <c r="A629" s="12"/>
      <c r="B629" s="12"/>
      <c r="C629" s="60"/>
    </row>
    <row r="630">
      <c r="A630" s="12"/>
      <c r="B630" s="12"/>
      <c r="C630" s="60"/>
    </row>
    <row r="631">
      <c r="A631" s="12"/>
      <c r="B631" s="12"/>
      <c r="C631" s="60"/>
    </row>
    <row r="632">
      <c r="A632" s="12"/>
      <c r="B632" s="12"/>
      <c r="C632" s="60"/>
    </row>
    <row r="633">
      <c r="A633" s="12"/>
      <c r="B633" s="12"/>
      <c r="C633" s="60"/>
    </row>
    <row r="634">
      <c r="A634" s="12"/>
      <c r="B634" s="12"/>
      <c r="C634" s="60"/>
    </row>
    <row r="635">
      <c r="A635" s="12"/>
      <c r="B635" s="12"/>
      <c r="C635" s="60"/>
    </row>
    <row r="636">
      <c r="A636" s="12"/>
      <c r="B636" s="12"/>
      <c r="C636" s="60"/>
    </row>
    <row r="637">
      <c r="A637" s="12"/>
      <c r="B637" s="12"/>
      <c r="C637" s="60"/>
    </row>
    <row r="638">
      <c r="A638" s="12"/>
      <c r="B638" s="12"/>
      <c r="C638" s="60"/>
    </row>
    <row r="639">
      <c r="A639" s="12"/>
      <c r="B639" s="12"/>
      <c r="C639" s="60"/>
    </row>
    <row r="640">
      <c r="A640" s="12"/>
      <c r="B640" s="12"/>
      <c r="C640" s="60"/>
    </row>
    <row r="641">
      <c r="A641" s="12"/>
      <c r="B641" s="12"/>
      <c r="C641" s="60"/>
    </row>
    <row r="642">
      <c r="A642" s="12"/>
      <c r="B642" s="12"/>
      <c r="C642" s="60"/>
    </row>
    <row r="643">
      <c r="A643" s="12"/>
      <c r="B643" s="12"/>
      <c r="C643" s="60"/>
    </row>
    <row r="644">
      <c r="A644" s="12"/>
      <c r="B644" s="12"/>
      <c r="C644" s="60"/>
    </row>
    <row r="645">
      <c r="A645" s="12"/>
      <c r="B645" s="12"/>
      <c r="C645" s="60"/>
    </row>
    <row r="646">
      <c r="A646" s="12"/>
      <c r="B646" s="12"/>
      <c r="C646" s="60"/>
    </row>
    <row r="647">
      <c r="A647" s="12"/>
      <c r="B647" s="12"/>
      <c r="C647" s="60"/>
    </row>
    <row r="648">
      <c r="A648" s="12"/>
      <c r="B648" s="12"/>
      <c r="C648" s="60"/>
    </row>
    <row r="649">
      <c r="A649" s="12"/>
      <c r="B649" s="12"/>
      <c r="C649" s="60"/>
    </row>
    <row r="650">
      <c r="A650" s="12"/>
      <c r="B650" s="12"/>
      <c r="C650" s="60"/>
    </row>
    <row r="651">
      <c r="A651" s="12"/>
      <c r="B651" s="12"/>
      <c r="C651" s="60"/>
    </row>
    <row r="652">
      <c r="A652" s="12"/>
      <c r="B652" s="12"/>
      <c r="C652" s="60"/>
    </row>
    <row r="653">
      <c r="A653" s="12"/>
      <c r="B653" s="12"/>
      <c r="C653" s="60"/>
    </row>
    <row r="654">
      <c r="A654" s="12"/>
      <c r="B654" s="12"/>
      <c r="C654" s="60"/>
    </row>
    <row r="655">
      <c r="A655" s="12"/>
      <c r="B655" s="12"/>
      <c r="C655" s="60"/>
    </row>
    <row r="656">
      <c r="A656" s="12"/>
      <c r="B656" s="12"/>
      <c r="C656" s="60"/>
    </row>
    <row r="657">
      <c r="A657" s="12"/>
      <c r="B657" s="12"/>
      <c r="C657" s="60"/>
    </row>
    <row r="658">
      <c r="A658" s="12"/>
      <c r="B658" s="12"/>
      <c r="C658" s="60"/>
    </row>
    <row r="659">
      <c r="A659" s="12"/>
      <c r="B659" s="12"/>
      <c r="C659" s="60"/>
    </row>
    <row r="660">
      <c r="A660" s="12"/>
      <c r="B660" s="12"/>
      <c r="C660" s="60"/>
    </row>
    <row r="661">
      <c r="A661" s="12"/>
      <c r="B661" s="12"/>
      <c r="C661" s="60"/>
    </row>
    <row r="662">
      <c r="A662" s="12"/>
      <c r="B662" s="12"/>
      <c r="C662" s="60"/>
    </row>
    <row r="663">
      <c r="A663" s="12"/>
      <c r="B663" s="12"/>
      <c r="C663" s="60"/>
    </row>
    <row r="664">
      <c r="A664" s="12"/>
      <c r="B664" s="12"/>
      <c r="C664" s="60"/>
    </row>
    <row r="665">
      <c r="A665" s="12"/>
      <c r="B665" s="12"/>
      <c r="C665" s="60"/>
    </row>
    <row r="666">
      <c r="A666" s="12"/>
      <c r="B666" s="12"/>
      <c r="C666" s="60"/>
    </row>
    <row r="667">
      <c r="A667" s="12"/>
      <c r="B667" s="12"/>
      <c r="C667" s="60"/>
    </row>
    <row r="668">
      <c r="A668" s="12"/>
      <c r="B668" s="12"/>
      <c r="C668" s="60"/>
    </row>
    <row r="669">
      <c r="A669" s="12"/>
      <c r="B669" s="12"/>
      <c r="C669" s="60"/>
    </row>
    <row r="670">
      <c r="A670" s="12"/>
      <c r="B670" s="12"/>
      <c r="C670" s="60"/>
    </row>
    <row r="671">
      <c r="A671" s="12"/>
      <c r="B671" s="12"/>
      <c r="C671" s="60"/>
    </row>
    <row r="672">
      <c r="A672" s="12"/>
      <c r="B672" s="12"/>
      <c r="C672" s="60"/>
    </row>
    <row r="673">
      <c r="A673" s="12"/>
      <c r="B673" s="12"/>
      <c r="C673" s="60"/>
    </row>
    <row r="674">
      <c r="A674" s="12"/>
      <c r="B674" s="12"/>
      <c r="C674" s="60"/>
    </row>
    <row r="675">
      <c r="A675" s="12"/>
      <c r="B675" s="12"/>
      <c r="C675" s="60"/>
    </row>
    <row r="676">
      <c r="A676" s="12"/>
      <c r="B676" s="12"/>
      <c r="C676" s="60"/>
    </row>
    <row r="677">
      <c r="A677" s="12"/>
      <c r="B677" s="12"/>
      <c r="C677" s="60"/>
    </row>
    <row r="678">
      <c r="A678" s="12"/>
      <c r="B678" s="12"/>
      <c r="C678" s="60"/>
    </row>
    <row r="679">
      <c r="A679" s="12"/>
      <c r="B679" s="12"/>
      <c r="C679" s="60"/>
    </row>
    <row r="680">
      <c r="A680" s="12"/>
      <c r="B680" s="12"/>
      <c r="C680" s="60"/>
    </row>
    <row r="681">
      <c r="A681" s="12"/>
      <c r="B681" s="12"/>
      <c r="C681" s="60"/>
    </row>
    <row r="682">
      <c r="A682" s="12"/>
      <c r="B682" s="12"/>
      <c r="C682" s="60"/>
    </row>
    <row r="683">
      <c r="A683" s="12"/>
      <c r="B683" s="12"/>
      <c r="C683" s="60"/>
    </row>
    <row r="684">
      <c r="A684" s="12"/>
      <c r="B684" s="12"/>
      <c r="C684" s="60"/>
    </row>
    <row r="685">
      <c r="A685" s="12"/>
      <c r="B685" s="12"/>
      <c r="C685" s="60"/>
    </row>
    <row r="686">
      <c r="A686" s="12"/>
      <c r="B686" s="12"/>
      <c r="C686" s="60"/>
    </row>
    <row r="687">
      <c r="A687" s="12"/>
      <c r="B687" s="12"/>
      <c r="C687" s="60"/>
    </row>
    <row r="688">
      <c r="A688" s="12"/>
      <c r="B688" s="12"/>
      <c r="C688" s="60"/>
    </row>
    <row r="689">
      <c r="A689" s="12"/>
      <c r="B689" s="12"/>
      <c r="C689" s="60"/>
    </row>
    <row r="690">
      <c r="A690" s="12"/>
      <c r="B690" s="12"/>
      <c r="C690" s="60"/>
    </row>
    <row r="691">
      <c r="A691" s="12"/>
      <c r="B691" s="12"/>
      <c r="C691" s="60"/>
    </row>
    <row r="692">
      <c r="A692" s="12"/>
      <c r="B692" s="12"/>
      <c r="C692" s="60"/>
    </row>
    <row r="693">
      <c r="A693" s="12"/>
      <c r="B693" s="12"/>
      <c r="C693" s="60"/>
    </row>
    <row r="694">
      <c r="A694" s="12"/>
      <c r="B694" s="12"/>
      <c r="C694" s="60"/>
    </row>
    <row r="695">
      <c r="A695" s="12"/>
      <c r="B695" s="12"/>
      <c r="C695" s="60"/>
    </row>
    <row r="696">
      <c r="A696" s="12"/>
      <c r="B696" s="12"/>
      <c r="C696" s="60"/>
    </row>
    <row r="697">
      <c r="A697" s="12"/>
      <c r="B697" s="12"/>
      <c r="C697" s="60"/>
    </row>
    <row r="698">
      <c r="A698" s="12"/>
      <c r="B698" s="12"/>
      <c r="C698" s="60"/>
    </row>
    <row r="699">
      <c r="A699" s="12"/>
      <c r="B699" s="12"/>
      <c r="C699" s="60"/>
    </row>
    <row r="700">
      <c r="A700" s="12"/>
      <c r="B700" s="12"/>
      <c r="C700" s="60"/>
    </row>
    <row r="701">
      <c r="A701" s="12"/>
      <c r="B701" s="12"/>
      <c r="C701" s="60"/>
    </row>
    <row r="702">
      <c r="A702" s="12"/>
      <c r="B702" s="12"/>
      <c r="C702" s="60"/>
    </row>
    <row r="703">
      <c r="A703" s="12"/>
      <c r="B703" s="12"/>
      <c r="C703" s="60"/>
    </row>
    <row r="704">
      <c r="A704" s="12"/>
      <c r="B704" s="12"/>
      <c r="C704" s="60"/>
    </row>
    <row r="705">
      <c r="A705" s="12"/>
      <c r="B705" s="12"/>
      <c r="C705" s="60"/>
    </row>
    <row r="706">
      <c r="A706" s="12"/>
      <c r="B706" s="12"/>
      <c r="C706" s="60"/>
    </row>
    <row r="707">
      <c r="A707" s="12"/>
      <c r="B707" s="12"/>
      <c r="C707" s="60"/>
    </row>
    <row r="708">
      <c r="A708" s="12"/>
      <c r="B708" s="12"/>
      <c r="C708" s="60"/>
    </row>
    <row r="709">
      <c r="A709" s="12"/>
      <c r="B709" s="12"/>
      <c r="C709" s="60"/>
    </row>
    <row r="710">
      <c r="A710" s="12"/>
      <c r="B710" s="12"/>
      <c r="C710" s="60"/>
    </row>
    <row r="711">
      <c r="A711" s="12"/>
      <c r="B711" s="12"/>
      <c r="C711" s="60"/>
    </row>
    <row r="712">
      <c r="A712" s="12"/>
      <c r="B712" s="12"/>
      <c r="C712" s="60"/>
    </row>
    <row r="713">
      <c r="A713" s="12"/>
      <c r="B713" s="12"/>
      <c r="C713" s="60"/>
    </row>
    <row r="714">
      <c r="A714" s="12"/>
      <c r="B714" s="12"/>
      <c r="C714" s="60"/>
    </row>
    <row r="715">
      <c r="A715" s="12"/>
      <c r="B715" s="12"/>
      <c r="C715" s="60"/>
    </row>
    <row r="716">
      <c r="A716" s="12"/>
      <c r="B716" s="12"/>
      <c r="C716" s="60"/>
    </row>
    <row r="717">
      <c r="A717" s="12"/>
      <c r="B717" s="12"/>
      <c r="C717" s="60"/>
    </row>
    <row r="718">
      <c r="A718" s="12"/>
      <c r="B718" s="12"/>
      <c r="C718" s="60"/>
    </row>
    <row r="719">
      <c r="A719" s="12"/>
      <c r="B719" s="12"/>
      <c r="C719" s="60"/>
    </row>
    <row r="720">
      <c r="A720" s="12"/>
      <c r="B720" s="12"/>
      <c r="C720" s="60"/>
    </row>
    <row r="721">
      <c r="A721" s="12"/>
      <c r="B721" s="12"/>
      <c r="C721" s="60"/>
    </row>
    <row r="722">
      <c r="A722" s="12"/>
      <c r="B722" s="12"/>
      <c r="C722" s="60"/>
    </row>
    <row r="723">
      <c r="A723" s="12"/>
      <c r="B723" s="12"/>
      <c r="C723" s="60"/>
    </row>
    <row r="724">
      <c r="A724" s="12"/>
      <c r="B724" s="12"/>
      <c r="C724" s="60"/>
    </row>
    <row r="725">
      <c r="A725" s="12"/>
      <c r="B725" s="12"/>
      <c r="C725" s="60"/>
    </row>
    <row r="726">
      <c r="A726" s="12"/>
      <c r="B726" s="12"/>
      <c r="C726" s="60"/>
    </row>
    <row r="727">
      <c r="A727" s="12"/>
      <c r="B727" s="12"/>
      <c r="C727" s="60"/>
    </row>
    <row r="728">
      <c r="A728" s="12"/>
      <c r="B728" s="12"/>
      <c r="C728" s="60"/>
    </row>
    <row r="729">
      <c r="A729" s="12"/>
      <c r="B729" s="12"/>
      <c r="C729" s="60"/>
    </row>
    <row r="730">
      <c r="A730" s="12"/>
      <c r="B730" s="12"/>
      <c r="C730" s="60"/>
    </row>
    <row r="731">
      <c r="A731" s="12"/>
      <c r="B731" s="12"/>
      <c r="C731" s="60"/>
    </row>
    <row r="732">
      <c r="A732" s="12"/>
      <c r="B732" s="12"/>
      <c r="C732" s="60"/>
    </row>
    <row r="733">
      <c r="A733" s="12"/>
      <c r="B733" s="12"/>
      <c r="C733" s="60"/>
    </row>
    <row r="734">
      <c r="A734" s="12"/>
      <c r="B734" s="12"/>
      <c r="C734" s="60"/>
    </row>
    <row r="735">
      <c r="A735" s="12"/>
      <c r="B735" s="12"/>
      <c r="C735" s="60"/>
    </row>
    <row r="736">
      <c r="A736" s="12"/>
      <c r="B736" s="12"/>
      <c r="C736" s="60"/>
    </row>
    <row r="737">
      <c r="A737" s="12"/>
      <c r="B737" s="12"/>
      <c r="C737" s="60"/>
    </row>
    <row r="738">
      <c r="A738" s="12"/>
      <c r="B738" s="12"/>
      <c r="C738" s="60"/>
    </row>
    <row r="739">
      <c r="A739" s="12"/>
      <c r="B739" s="12"/>
      <c r="C739" s="60"/>
    </row>
    <row r="740">
      <c r="A740" s="12"/>
      <c r="B740" s="12"/>
      <c r="C740" s="60"/>
    </row>
    <row r="741">
      <c r="A741" s="12"/>
      <c r="B741" s="12"/>
      <c r="C741" s="60"/>
    </row>
    <row r="742">
      <c r="A742" s="12"/>
      <c r="B742" s="12"/>
      <c r="C742" s="60"/>
    </row>
    <row r="743">
      <c r="A743" s="12"/>
      <c r="B743" s="12"/>
      <c r="C743" s="60"/>
    </row>
    <row r="744">
      <c r="A744" s="12"/>
      <c r="B744" s="12"/>
      <c r="C744" s="60"/>
    </row>
    <row r="745">
      <c r="A745" s="12"/>
      <c r="B745" s="12"/>
      <c r="C745" s="60"/>
    </row>
    <row r="746">
      <c r="A746" s="12"/>
      <c r="B746" s="12"/>
      <c r="C746" s="60"/>
    </row>
    <row r="747">
      <c r="A747" s="12"/>
      <c r="B747" s="12"/>
      <c r="C747" s="60"/>
    </row>
    <row r="748">
      <c r="A748" s="12"/>
      <c r="B748" s="12"/>
      <c r="C748" s="60"/>
    </row>
    <row r="749">
      <c r="A749" s="12"/>
      <c r="B749" s="12"/>
      <c r="C749" s="60"/>
    </row>
    <row r="750">
      <c r="A750" s="12"/>
      <c r="B750" s="12"/>
      <c r="C750" s="60"/>
    </row>
    <row r="751">
      <c r="A751" s="12"/>
      <c r="B751" s="12"/>
      <c r="C751" s="60"/>
    </row>
    <row r="752">
      <c r="A752" s="12"/>
      <c r="B752" s="12"/>
      <c r="C752" s="60"/>
    </row>
    <row r="753">
      <c r="A753" s="12"/>
      <c r="B753" s="12"/>
      <c r="C753" s="60"/>
    </row>
    <row r="754">
      <c r="A754" s="12"/>
      <c r="B754" s="12"/>
      <c r="C754" s="60"/>
    </row>
    <row r="755">
      <c r="A755" s="12"/>
      <c r="B755" s="12"/>
      <c r="C755" s="60"/>
    </row>
    <row r="756">
      <c r="A756" s="12"/>
      <c r="B756" s="12"/>
      <c r="C756" s="60"/>
    </row>
    <row r="757">
      <c r="A757" s="12"/>
      <c r="B757" s="12"/>
      <c r="C757" s="60"/>
    </row>
    <row r="758">
      <c r="A758" s="12"/>
      <c r="B758" s="12"/>
      <c r="C758" s="60"/>
    </row>
    <row r="759">
      <c r="A759" s="12"/>
      <c r="B759" s="12"/>
      <c r="C759" s="60"/>
    </row>
    <row r="760">
      <c r="A760" s="12"/>
      <c r="B760" s="12"/>
      <c r="C760" s="60"/>
    </row>
    <row r="761">
      <c r="A761" s="12"/>
      <c r="B761" s="12"/>
      <c r="C761" s="60"/>
    </row>
    <row r="762">
      <c r="A762" s="12"/>
      <c r="B762" s="12"/>
      <c r="C762" s="60"/>
    </row>
    <row r="763">
      <c r="A763" s="12"/>
      <c r="B763" s="12"/>
      <c r="C763" s="60"/>
    </row>
    <row r="764">
      <c r="A764" s="12"/>
      <c r="B764" s="12"/>
      <c r="C764" s="60"/>
    </row>
    <row r="765">
      <c r="A765" s="12"/>
      <c r="B765" s="12"/>
      <c r="C765" s="60"/>
    </row>
    <row r="766">
      <c r="A766" s="12"/>
      <c r="B766" s="12"/>
      <c r="C766" s="60"/>
    </row>
    <row r="767">
      <c r="A767" s="12"/>
      <c r="B767" s="12"/>
      <c r="C767" s="60"/>
    </row>
    <row r="768">
      <c r="A768" s="12"/>
      <c r="B768" s="12"/>
      <c r="C768" s="60"/>
    </row>
    <row r="769">
      <c r="A769" s="12"/>
      <c r="B769" s="12"/>
      <c r="C769" s="60"/>
    </row>
    <row r="770">
      <c r="A770" s="12"/>
      <c r="B770" s="12"/>
      <c r="C770" s="60"/>
    </row>
    <row r="771">
      <c r="A771" s="12"/>
      <c r="B771" s="12"/>
      <c r="C771" s="60"/>
    </row>
    <row r="772">
      <c r="A772" s="12"/>
      <c r="B772" s="12"/>
      <c r="C772" s="60"/>
    </row>
    <row r="773">
      <c r="A773" s="12"/>
      <c r="B773" s="12"/>
      <c r="C773" s="60"/>
    </row>
    <row r="774">
      <c r="A774" s="12"/>
      <c r="B774" s="12"/>
      <c r="C774" s="60"/>
    </row>
    <row r="775">
      <c r="A775" s="12"/>
      <c r="B775" s="12"/>
      <c r="C775" s="60"/>
    </row>
    <row r="776">
      <c r="A776" s="12"/>
      <c r="B776" s="12"/>
      <c r="C776" s="60"/>
    </row>
    <row r="777">
      <c r="A777" s="12"/>
      <c r="B777" s="12"/>
      <c r="C777" s="60"/>
    </row>
    <row r="778">
      <c r="A778" s="12"/>
      <c r="B778" s="12"/>
      <c r="C778" s="60"/>
    </row>
    <row r="779">
      <c r="A779" s="12"/>
      <c r="B779" s="12"/>
      <c r="C779" s="60"/>
    </row>
    <row r="780">
      <c r="A780" s="12"/>
      <c r="B780" s="12"/>
      <c r="C780" s="60"/>
    </row>
    <row r="781">
      <c r="A781" s="12"/>
      <c r="B781" s="12"/>
      <c r="C781" s="60"/>
    </row>
    <row r="782">
      <c r="A782" s="12"/>
      <c r="B782" s="12"/>
      <c r="C782" s="60"/>
    </row>
    <row r="783">
      <c r="A783" s="12"/>
      <c r="B783" s="12"/>
      <c r="C783" s="60"/>
    </row>
    <row r="784">
      <c r="A784" s="12"/>
      <c r="B784" s="12"/>
      <c r="C784" s="60"/>
    </row>
    <row r="785">
      <c r="A785" s="12"/>
      <c r="B785" s="12"/>
      <c r="C785" s="60"/>
    </row>
    <row r="786">
      <c r="A786" s="12"/>
      <c r="B786" s="12"/>
      <c r="C786" s="60"/>
    </row>
    <row r="787">
      <c r="A787" s="12"/>
      <c r="B787" s="12"/>
      <c r="C787" s="60"/>
    </row>
    <row r="788">
      <c r="A788" s="12"/>
      <c r="B788" s="12"/>
      <c r="C788" s="60"/>
    </row>
    <row r="789">
      <c r="A789" s="12"/>
      <c r="B789" s="12"/>
      <c r="C789" s="60"/>
    </row>
    <row r="790">
      <c r="A790" s="12"/>
      <c r="B790" s="12"/>
      <c r="C790" s="60"/>
    </row>
    <row r="791">
      <c r="A791" s="12"/>
      <c r="B791" s="12"/>
      <c r="C791" s="60"/>
    </row>
    <row r="792">
      <c r="A792" s="12"/>
      <c r="B792" s="12"/>
      <c r="C792" s="60"/>
    </row>
    <row r="793">
      <c r="A793" s="12"/>
      <c r="B793" s="12"/>
      <c r="C793" s="60"/>
    </row>
    <row r="794">
      <c r="A794" s="12"/>
      <c r="B794" s="12"/>
      <c r="C794" s="60"/>
    </row>
    <row r="795">
      <c r="A795" s="12"/>
      <c r="B795" s="12"/>
      <c r="C795" s="60"/>
    </row>
    <row r="796">
      <c r="A796" s="12"/>
      <c r="B796" s="12"/>
      <c r="C796" s="60"/>
    </row>
    <row r="797">
      <c r="A797" s="12"/>
      <c r="B797" s="12"/>
      <c r="C797" s="60"/>
    </row>
    <row r="798">
      <c r="A798" s="12"/>
      <c r="B798" s="12"/>
      <c r="C798" s="60"/>
    </row>
    <row r="799">
      <c r="A799" s="12"/>
      <c r="B799" s="12"/>
      <c r="C799" s="60"/>
    </row>
    <row r="800">
      <c r="A800" s="12"/>
      <c r="B800" s="12"/>
      <c r="C800" s="60"/>
    </row>
    <row r="801">
      <c r="A801" s="12"/>
      <c r="B801" s="12"/>
      <c r="C801" s="60"/>
    </row>
    <row r="802">
      <c r="A802" s="12"/>
      <c r="B802" s="12"/>
      <c r="C802" s="60"/>
    </row>
    <row r="803">
      <c r="A803" s="12"/>
      <c r="B803" s="12"/>
      <c r="C803" s="60"/>
    </row>
    <row r="804">
      <c r="A804" s="12"/>
      <c r="B804" s="12"/>
      <c r="C804" s="60"/>
    </row>
    <row r="805">
      <c r="A805" s="12"/>
      <c r="B805" s="12"/>
      <c r="C805" s="60"/>
    </row>
    <row r="806">
      <c r="A806" s="12"/>
      <c r="B806" s="12"/>
      <c r="C806" s="60"/>
    </row>
    <row r="807">
      <c r="A807" s="12"/>
      <c r="B807" s="12"/>
      <c r="C807" s="60"/>
    </row>
    <row r="808">
      <c r="A808" s="12"/>
      <c r="B808" s="12"/>
      <c r="C808" s="60"/>
    </row>
    <row r="809">
      <c r="A809" s="12"/>
      <c r="B809" s="12"/>
      <c r="C809" s="60"/>
    </row>
    <row r="810">
      <c r="A810" s="12"/>
      <c r="B810" s="12"/>
      <c r="C810" s="60"/>
    </row>
    <row r="811">
      <c r="A811" s="12"/>
      <c r="B811" s="12"/>
      <c r="C811" s="60"/>
    </row>
    <row r="812">
      <c r="A812" s="12"/>
      <c r="B812" s="12"/>
      <c r="C812" s="60"/>
    </row>
    <row r="813">
      <c r="A813" s="12"/>
      <c r="B813" s="12"/>
      <c r="C813" s="60"/>
    </row>
    <row r="814">
      <c r="A814" s="12"/>
      <c r="B814" s="12"/>
      <c r="C814" s="60"/>
    </row>
    <row r="815">
      <c r="A815" s="12"/>
      <c r="B815" s="12"/>
      <c r="C815" s="60"/>
    </row>
    <row r="816">
      <c r="A816" s="12"/>
      <c r="B816" s="12"/>
      <c r="C816" s="60"/>
    </row>
    <row r="817">
      <c r="A817" s="12"/>
      <c r="B817" s="12"/>
      <c r="C817" s="60"/>
    </row>
    <row r="818">
      <c r="A818" s="12"/>
      <c r="B818" s="12"/>
      <c r="C818" s="60"/>
    </row>
    <row r="819">
      <c r="A819" s="12"/>
      <c r="B819" s="12"/>
      <c r="C819" s="60"/>
    </row>
    <row r="820">
      <c r="A820" s="12"/>
      <c r="B820" s="12"/>
      <c r="C820" s="60"/>
    </row>
    <row r="821">
      <c r="A821" s="12"/>
      <c r="B821" s="12"/>
      <c r="C821" s="60"/>
    </row>
    <row r="822">
      <c r="A822" s="12"/>
      <c r="B822" s="12"/>
      <c r="C822" s="60"/>
    </row>
    <row r="823">
      <c r="A823" s="12"/>
      <c r="B823" s="12"/>
      <c r="C823" s="60"/>
    </row>
    <row r="824">
      <c r="A824" s="12"/>
      <c r="B824" s="12"/>
      <c r="C824" s="60"/>
    </row>
    <row r="825">
      <c r="A825" s="12"/>
      <c r="B825" s="12"/>
      <c r="C825" s="60"/>
    </row>
    <row r="826">
      <c r="A826" s="12"/>
      <c r="B826" s="12"/>
      <c r="C826" s="60"/>
    </row>
    <row r="827">
      <c r="A827" s="12"/>
      <c r="B827" s="12"/>
      <c r="C827" s="60"/>
    </row>
    <row r="828">
      <c r="A828" s="12"/>
      <c r="B828" s="12"/>
      <c r="C828" s="60"/>
    </row>
    <row r="829">
      <c r="A829" s="12"/>
      <c r="B829" s="12"/>
      <c r="C829" s="60"/>
    </row>
    <row r="830">
      <c r="A830" s="12"/>
      <c r="B830" s="12"/>
      <c r="C830" s="60"/>
    </row>
    <row r="831">
      <c r="A831" s="12"/>
      <c r="B831" s="12"/>
      <c r="C831" s="60"/>
    </row>
    <row r="832">
      <c r="A832" s="12"/>
      <c r="B832" s="12"/>
      <c r="C832" s="60"/>
    </row>
    <row r="833">
      <c r="A833" s="12"/>
      <c r="B833" s="12"/>
      <c r="C833" s="60"/>
    </row>
    <row r="834">
      <c r="A834" s="12"/>
      <c r="B834" s="12"/>
      <c r="C834" s="60"/>
    </row>
    <row r="835">
      <c r="A835" s="12"/>
      <c r="B835" s="12"/>
      <c r="C835" s="60"/>
    </row>
    <row r="836">
      <c r="A836" s="12"/>
      <c r="B836" s="12"/>
      <c r="C836" s="60"/>
    </row>
    <row r="837">
      <c r="A837" s="12"/>
      <c r="B837" s="12"/>
      <c r="C837" s="60"/>
    </row>
    <row r="838">
      <c r="A838" s="12"/>
      <c r="B838" s="12"/>
      <c r="C838" s="60"/>
    </row>
    <row r="839">
      <c r="A839" s="12"/>
      <c r="B839" s="12"/>
      <c r="C839" s="60"/>
    </row>
    <row r="840">
      <c r="A840" s="12"/>
      <c r="B840" s="12"/>
      <c r="C840" s="60"/>
    </row>
    <row r="841">
      <c r="A841" s="12"/>
      <c r="B841" s="12"/>
      <c r="C841" s="60"/>
    </row>
    <row r="842">
      <c r="A842" s="12"/>
      <c r="B842" s="12"/>
      <c r="C842" s="60"/>
    </row>
    <row r="843">
      <c r="A843" s="12"/>
      <c r="B843" s="12"/>
      <c r="C843" s="60"/>
    </row>
    <row r="844">
      <c r="A844" s="12"/>
      <c r="B844" s="12"/>
      <c r="C844" s="60"/>
    </row>
    <row r="845">
      <c r="A845" s="12"/>
      <c r="B845" s="12"/>
      <c r="C845" s="60"/>
    </row>
    <row r="846">
      <c r="A846" s="12"/>
      <c r="B846" s="12"/>
      <c r="C846" s="60"/>
    </row>
    <row r="847">
      <c r="A847" s="12"/>
      <c r="B847" s="12"/>
      <c r="C847" s="60"/>
    </row>
    <row r="848">
      <c r="A848" s="12"/>
      <c r="B848" s="12"/>
      <c r="C848" s="60"/>
    </row>
    <row r="849">
      <c r="A849" s="12"/>
      <c r="B849" s="12"/>
      <c r="C849" s="60"/>
    </row>
    <row r="850">
      <c r="A850" s="12"/>
      <c r="B850" s="12"/>
      <c r="C850" s="60"/>
    </row>
    <row r="851">
      <c r="A851" s="12"/>
      <c r="B851" s="12"/>
      <c r="C851" s="60"/>
    </row>
    <row r="852">
      <c r="A852" s="12"/>
      <c r="B852" s="12"/>
      <c r="C852" s="60"/>
    </row>
    <row r="853">
      <c r="A853" s="12"/>
      <c r="B853" s="12"/>
      <c r="C853" s="60"/>
    </row>
    <row r="854">
      <c r="A854" s="12"/>
      <c r="B854" s="12"/>
      <c r="C854" s="60"/>
    </row>
    <row r="855">
      <c r="A855" s="12"/>
      <c r="B855" s="12"/>
      <c r="C855" s="60"/>
    </row>
    <row r="856">
      <c r="A856" s="12"/>
      <c r="B856" s="12"/>
      <c r="C856" s="60"/>
    </row>
    <row r="857">
      <c r="A857" s="12"/>
      <c r="B857" s="12"/>
      <c r="C857" s="60"/>
    </row>
    <row r="858">
      <c r="A858" s="12"/>
      <c r="B858" s="12"/>
      <c r="C858" s="60"/>
    </row>
    <row r="859">
      <c r="A859" s="12"/>
      <c r="B859" s="12"/>
      <c r="C859" s="60"/>
    </row>
    <row r="860">
      <c r="A860" s="12"/>
      <c r="B860" s="12"/>
      <c r="C860" s="60"/>
    </row>
    <row r="861">
      <c r="A861" s="12"/>
      <c r="B861" s="12"/>
      <c r="C861" s="60"/>
    </row>
    <row r="862">
      <c r="A862" s="12"/>
      <c r="B862" s="12"/>
      <c r="C862" s="60"/>
    </row>
    <row r="863">
      <c r="A863" s="12"/>
      <c r="B863" s="12"/>
      <c r="C863" s="60"/>
    </row>
    <row r="864">
      <c r="A864" s="12"/>
      <c r="B864" s="12"/>
      <c r="C864" s="60"/>
    </row>
    <row r="865">
      <c r="A865" s="12"/>
      <c r="B865" s="12"/>
      <c r="C865" s="60"/>
    </row>
    <row r="866">
      <c r="A866" s="12"/>
      <c r="B866" s="12"/>
      <c r="C866" s="60"/>
    </row>
    <row r="867">
      <c r="A867" s="12"/>
      <c r="B867" s="12"/>
      <c r="C867" s="60"/>
    </row>
    <row r="868">
      <c r="A868" s="12"/>
      <c r="B868" s="12"/>
      <c r="C868" s="60"/>
    </row>
    <row r="869">
      <c r="A869" s="12"/>
      <c r="B869" s="12"/>
      <c r="C869" s="60"/>
    </row>
    <row r="870">
      <c r="A870" s="12"/>
      <c r="B870" s="12"/>
      <c r="C870" s="60"/>
    </row>
    <row r="871">
      <c r="A871" s="12"/>
      <c r="B871" s="12"/>
      <c r="C871" s="60"/>
    </row>
    <row r="872">
      <c r="A872" s="12"/>
      <c r="B872" s="12"/>
      <c r="C872" s="60"/>
    </row>
    <row r="873">
      <c r="A873" s="12"/>
      <c r="B873" s="12"/>
      <c r="C873" s="60"/>
    </row>
    <row r="874">
      <c r="A874" s="12"/>
      <c r="B874" s="12"/>
      <c r="C874" s="60"/>
    </row>
    <row r="875">
      <c r="A875" s="12"/>
      <c r="B875" s="12"/>
      <c r="C875" s="60"/>
    </row>
    <row r="876">
      <c r="A876" s="12"/>
      <c r="B876" s="12"/>
      <c r="C876" s="60"/>
    </row>
    <row r="877">
      <c r="A877" s="12"/>
      <c r="B877" s="12"/>
      <c r="C877" s="60"/>
    </row>
    <row r="878">
      <c r="A878" s="12"/>
      <c r="B878" s="12"/>
      <c r="C878" s="60"/>
    </row>
    <row r="879">
      <c r="A879" s="12"/>
      <c r="B879" s="12"/>
      <c r="C879" s="60"/>
    </row>
    <row r="880">
      <c r="A880" s="12"/>
      <c r="B880" s="12"/>
      <c r="C880" s="60"/>
    </row>
    <row r="881">
      <c r="A881" s="12"/>
      <c r="B881" s="12"/>
      <c r="C881" s="60"/>
    </row>
    <row r="882">
      <c r="A882" s="12"/>
      <c r="B882" s="12"/>
      <c r="C882" s="60"/>
    </row>
    <row r="883">
      <c r="A883" s="12"/>
      <c r="B883" s="12"/>
      <c r="C883" s="60"/>
    </row>
    <row r="884">
      <c r="A884" s="12"/>
      <c r="B884" s="12"/>
      <c r="C884" s="60"/>
    </row>
    <row r="885">
      <c r="A885" s="12"/>
      <c r="B885" s="12"/>
      <c r="C885" s="60"/>
    </row>
    <row r="886">
      <c r="A886" s="12"/>
      <c r="B886" s="12"/>
      <c r="C886" s="60"/>
    </row>
    <row r="887">
      <c r="A887" s="12"/>
      <c r="B887" s="12"/>
      <c r="C887" s="60"/>
    </row>
    <row r="888">
      <c r="A888" s="12"/>
      <c r="B888" s="12"/>
      <c r="C888" s="60"/>
    </row>
    <row r="889">
      <c r="A889" s="12"/>
      <c r="B889" s="12"/>
      <c r="C889" s="60"/>
    </row>
    <row r="890">
      <c r="A890" s="12"/>
      <c r="B890" s="12"/>
      <c r="C890" s="60"/>
    </row>
    <row r="891">
      <c r="A891" s="12"/>
      <c r="B891" s="12"/>
      <c r="C891" s="60"/>
    </row>
    <row r="892">
      <c r="A892" s="12"/>
      <c r="B892" s="12"/>
      <c r="C892" s="60"/>
    </row>
    <row r="893">
      <c r="A893" s="12"/>
      <c r="B893" s="12"/>
      <c r="C893" s="60"/>
    </row>
    <row r="894">
      <c r="A894" s="12"/>
      <c r="B894" s="12"/>
      <c r="C894" s="60"/>
    </row>
    <row r="895">
      <c r="A895" s="12"/>
      <c r="B895" s="12"/>
      <c r="C895" s="60"/>
    </row>
    <row r="896">
      <c r="A896" s="12"/>
      <c r="B896" s="12"/>
      <c r="C896" s="60"/>
    </row>
    <row r="897">
      <c r="A897" s="12"/>
      <c r="B897" s="12"/>
      <c r="C897" s="60"/>
    </row>
    <row r="898">
      <c r="A898" s="12"/>
      <c r="B898" s="12"/>
      <c r="C898" s="60"/>
    </row>
    <row r="899">
      <c r="A899" s="12"/>
      <c r="B899" s="12"/>
      <c r="C899" s="60"/>
    </row>
    <row r="900">
      <c r="A900" s="12"/>
      <c r="B900" s="12"/>
      <c r="C900" s="60"/>
    </row>
    <row r="901">
      <c r="A901" s="12"/>
      <c r="B901" s="12"/>
      <c r="C901" s="60"/>
    </row>
    <row r="902">
      <c r="A902" s="12"/>
      <c r="B902" s="12"/>
      <c r="C902" s="60"/>
    </row>
    <row r="903">
      <c r="A903" s="12"/>
      <c r="B903" s="12"/>
      <c r="C903" s="60"/>
    </row>
    <row r="904">
      <c r="A904" s="12"/>
      <c r="B904" s="12"/>
      <c r="C904" s="60"/>
    </row>
    <row r="905">
      <c r="A905" s="12"/>
      <c r="B905" s="12"/>
      <c r="C905" s="60"/>
    </row>
    <row r="906">
      <c r="A906" s="12"/>
      <c r="B906" s="12"/>
      <c r="C906" s="60"/>
    </row>
    <row r="907">
      <c r="A907" s="12"/>
      <c r="B907" s="12"/>
      <c r="C907" s="60"/>
    </row>
    <row r="908">
      <c r="A908" s="12"/>
      <c r="B908" s="12"/>
      <c r="C908" s="60"/>
    </row>
  </sheetData>
  <mergeCells count="7">
    <mergeCell ref="A2:C2"/>
    <mergeCell ref="A3:C3"/>
    <mergeCell ref="A4:C4"/>
    <mergeCell ref="A5:B5"/>
    <mergeCell ref="A6:B6"/>
    <mergeCell ref="A7:B7"/>
    <mergeCell ref="A8:B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5" t="s">
        <v>76</v>
      </c>
    </row>
    <row r="2">
      <c r="A2" s="105" t="s">
        <v>107</v>
      </c>
    </row>
    <row r="3">
      <c r="A3" s="105" t="s">
        <v>112</v>
      </c>
    </row>
    <row r="4">
      <c r="A4" s="105" t="s">
        <v>116</v>
      </c>
    </row>
    <row r="5">
      <c r="A5" s="105" t="s">
        <v>121</v>
      </c>
    </row>
    <row r="6">
      <c r="A6" s="105" t="s">
        <v>124</v>
      </c>
    </row>
    <row r="7">
      <c r="A7" s="105" t="s">
        <v>127</v>
      </c>
    </row>
    <row r="8">
      <c r="A8" s="105" t="s">
        <v>132</v>
      </c>
    </row>
    <row r="9">
      <c r="A9" s="105" t="s">
        <v>136</v>
      </c>
    </row>
    <row r="10">
      <c r="A10" s="105" t="s">
        <v>139</v>
      </c>
    </row>
    <row r="11">
      <c r="A11" s="105" t="s">
        <v>143</v>
      </c>
    </row>
    <row r="12">
      <c r="A12" s="105" t="s">
        <v>146</v>
      </c>
    </row>
    <row r="13">
      <c r="A13" s="105" t="s">
        <v>149</v>
      </c>
    </row>
    <row r="14">
      <c r="A14" s="105" t="s">
        <v>152</v>
      </c>
    </row>
    <row r="15">
      <c r="A15" s="105" t="s">
        <v>155</v>
      </c>
    </row>
    <row r="16">
      <c r="A16" s="105" t="s">
        <v>158</v>
      </c>
    </row>
    <row r="17">
      <c r="A17" s="105" t="s">
        <v>162</v>
      </c>
    </row>
    <row r="18">
      <c r="A18" s="105" t="s">
        <v>166</v>
      </c>
    </row>
    <row r="19">
      <c r="A19" s="105" t="s">
        <v>168</v>
      </c>
    </row>
    <row r="20">
      <c r="A20" s="105" t="s">
        <v>172</v>
      </c>
    </row>
    <row r="21">
      <c r="A21" s="105" t="s">
        <v>175</v>
      </c>
    </row>
    <row r="22">
      <c r="A22" s="105" t="s">
        <v>178</v>
      </c>
    </row>
    <row r="23">
      <c r="A23" s="105" t="s">
        <v>182</v>
      </c>
    </row>
    <row r="24">
      <c r="A24" s="105" t="s">
        <v>186</v>
      </c>
    </row>
    <row r="25">
      <c r="A25" s="105" t="s">
        <v>189</v>
      </c>
    </row>
    <row r="26">
      <c r="A26" s="105" t="s">
        <v>191</v>
      </c>
    </row>
    <row r="27">
      <c r="A27" s="105" t="s">
        <v>194</v>
      </c>
    </row>
    <row r="28">
      <c r="A28" s="105" t="s">
        <v>196</v>
      </c>
    </row>
    <row r="29">
      <c r="A29" s="105" t="s">
        <v>200</v>
      </c>
    </row>
    <row r="30">
      <c r="A30" s="105" t="s">
        <v>203</v>
      </c>
    </row>
    <row r="31">
      <c r="A31" s="105" t="s">
        <v>206</v>
      </c>
    </row>
    <row r="32">
      <c r="A32" s="105" t="s">
        <v>210</v>
      </c>
    </row>
    <row r="33">
      <c r="A33" s="105" t="s">
        <v>213</v>
      </c>
    </row>
    <row r="34">
      <c r="A34" s="105" t="s">
        <v>216</v>
      </c>
    </row>
    <row r="35">
      <c r="A35" s="105" t="s">
        <v>219</v>
      </c>
    </row>
    <row r="36">
      <c r="A36" s="105" t="s">
        <v>222</v>
      </c>
    </row>
    <row r="37">
      <c r="A37" s="105" t="s">
        <v>224</v>
      </c>
    </row>
    <row r="38">
      <c r="A38" s="105" t="s">
        <v>226</v>
      </c>
    </row>
    <row r="39">
      <c r="A39" s="105" t="s">
        <v>229</v>
      </c>
    </row>
    <row r="40">
      <c r="A40" s="105" t="s">
        <v>231</v>
      </c>
    </row>
    <row r="41">
      <c r="A41" s="105" t="s">
        <v>234</v>
      </c>
    </row>
    <row r="42">
      <c r="A42" s="105" t="s">
        <v>237</v>
      </c>
    </row>
    <row r="43">
      <c r="A43" s="105" t="s">
        <v>240</v>
      </c>
    </row>
    <row r="44">
      <c r="A44" s="105" t="s">
        <v>243</v>
      </c>
    </row>
    <row r="45">
      <c r="A45" s="105" t="s">
        <v>246</v>
      </c>
    </row>
    <row r="46">
      <c r="A46" s="105" t="s">
        <v>249</v>
      </c>
    </row>
    <row r="47">
      <c r="A47" s="105" t="s">
        <v>252</v>
      </c>
    </row>
    <row r="48">
      <c r="A48" s="105" t="s">
        <v>256</v>
      </c>
    </row>
    <row r="49">
      <c r="A49" s="105" t="s">
        <v>115</v>
      </c>
    </row>
    <row r="50">
      <c r="A50" s="105" t="s">
        <v>262</v>
      </c>
    </row>
    <row r="51">
      <c r="A51" s="105" t="s">
        <v>266</v>
      </c>
    </row>
    <row r="52">
      <c r="A52" s="105" t="s">
        <v>269</v>
      </c>
    </row>
    <row r="53">
      <c r="A53" s="105" t="s">
        <v>272</v>
      </c>
    </row>
    <row r="54">
      <c r="A54" s="105" t="s">
        <v>275</v>
      </c>
    </row>
    <row r="55">
      <c r="A55" s="105" t="s">
        <v>278</v>
      </c>
    </row>
    <row r="56">
      <c r="A56" s="105" t="s">
        <v>282</v>
      </c>
    </row>
    <row r="57">
      <c r="A57" s="105" t="s">
        <v>285</v>
      </c>
    </row>
    <row r="58">
      <c r="A58" s="105" t="s">
        <v>288</v>
      </c>
    </row>
    <row r="59">
      <c r="A59" s="105" t="s">
        <v>291</v>
      </c>
    </row>
    <row r="60">
      <c r="A60" s="105" t="s">
        <v>293</v>
      </c>
    </row>
    <row r="61">
      <c r="A61" s="105" t="s">
        <v>296</v>
      </c>
    </row>
    <row r="62">
      <c r="A62" s="105" t="s">
        <v>297</v>
      </c>
    </row>
    <row r="63">
      <c r="A63" s="105" t="s">
        <v>299</v>
      </c>
    </row>
    <row r="64">
      <c r="A64" s="105" t="s">
        <v>300</v>
      </c>
    </row>
    <row r="65">
      <c r="A65" s="105" t="s">
        <v>301</v>
      </c>
    </row>
    <row r="66">
      <c r="A66" s="105" t="s">
        <v>303</v>
      </c>
    </row>
    <row r="67">
      <c r="A67" s="105" t="s">
        <v>306</v>
      </c>
    </row>
    <row r="68">
      <c r="A68" s="105" t="s">
        <v>309</v>
      </c>
    </row>
    <row r="69">
      <c r="A69" s="105" t="s">
        <v>313</v>
      </c>
    </row>
    <row r="70">
      <c r="A70" s="105" t="s">
        <v>315</v>
      </c>
    </row>
    <row r="71">
      <c r="A71" s="105" t="s">
        <v>317</v>
      </c>
    </row>
    <row r="72">
      <c r="A72" s="105" t="s">
        <v>319</v>
      </c>
    </row>
    <row r="73">
      <c r="A73" s="105" t="s">
        <v>322</v>
      </c>
    </row>
    <row r="74">
      <c r="A74" s="105" t="s">
        <v>325</v>
      </c>
    </row>
    <row r="75">
      <c r="A75" s="105" t="s">
        <v>327</v>
      </c>
    </row>
    <row r="76">
      <c r="A76" s="105" t="s">
        <v>329</v>
      </c>
    </row>
    <row r="77">
      <c r="A77" s="105" t="s">
        <v>332</v>
      </c>
    </row>
    <row r="78">
      <c r="A78" s="105" t="s">
        <v>334</v>
      </c>
    </row>
    <row r="79">
      <c r="A79" s="105" t="s">
        <v>336</v>
      </c>
    </row>
    <row r="80">
      <c r="A80" s="105" t="s">
        <v>338</v>
      </c>
    </row>
    <row r="81">
      <c r="A81" s="105" t="s">
        <v>340</v>
      </c>
    </row>
    <row r="82">
      <c r="A82" s="105" t="s">
        <v>343</v>
      </c>
    </row>
    <row r="83">
      <c r="A83" s="105" t="s">
        <v>346</v>
      </c>
    </row>
    <row r="84">
      <c r="A84" s="105" t="s">
        <v>348</v>
      </c>
    </row>
    <row r="85">
      <c r="A85" s="105" t="s">
        <v>350</v>
      </c>
    </row>
    <row r="86">
      <c r="A86" s="105" t="s">
        <v>352</v>
      </c>
    </row>
    <row r="87">
      <c r="A87" s="105" t="s">
        <v>354</v>
      </c>
    </row>
    <row r="88">
      <c r="A88" s="105" t="s">
        <v>356</v>
      </c>
    </row>
    <row r="89">
      <c r="A89" s="105" t="s">
        <v>359</v>
      </c>
    </row>
    <row r="90">
      <c r="A90" s="105" t="s">
        <v>361</v>
      </c>
    </row>
    <row r="91">
      <c r="A91" s="105" t="s">
        <v>363</v>
      </c>
    </row>
    <row r="92">
      <c r="A92" s="105" t="s">
        <v>366</v>
      </c>
    </row>
    <row r="93">
      <c r="A93" s="105" t="s">
        <v>368</v>
      </c>
    </row>
    <row r="94">
      <c r="A94" s="105" t="s">
        <v>370</v>
      </c>
    </row>
    <row r="95">
      <c r="A95" s="105" t="s">
        <v>160</v>
      </c>
    </row>
    <row r="96">
      <c r="A96" s="105" t="s">
        <v>208</v>
      </c>
    </row>
    <row r="97">
      <c r="A97" s="105" t="s">
        <v>184</v>
      </c>
    </row>
    <row r="98">
      <c r="A98" s="105" t="s">
        <v>379</v>
      </c>
    </row>
    <row r="99">
      <c r="A99" s="105" t="s">
        <v>151</v>
      </c>
    </row>
    <row r="100">
      <c r="A100" s="105" t="s">
        <v>180</v>
      </c>
    </row>
    <row r="101">
      <c r="A101" s="105" t="s">
        <v>388</v>
      </c>
    </row>
    <row r="102">
      <c r="A102" s="105" t="s">
        <v>392</v>
      </c>
    </row>
    <row r="103">
      <c r="A103" s="105" t="s">
        <v>395</v>
      </c>
    </row>
    <row r="104">
      <c r="A104" s="105" t="s">
        <v>398</v>
      </c>
    </row>
    <row r="105">
      <c r="A105" s="105" t="s">
        <v>401</v>
      </c>
    </row>
    <row r="106">
      <c r="A106" s="105" t="s">
        <v>404</v>
      </c>
    </row>
    <row r="107">
      <c r="A107" s="105" t="s">
        <v>407</v>
      </c>
    </row>
    <row r="108">
      <c r="A108" s="105" t="s">
        <v>409</v>
      </c>
    </row>
    <row r="109">
      <c r="A109" s="105" t="s">
        <v>412</v>
      </c>
    </row>
    <row r="110">
      <c r="A110" s="105" t="s">
        <v>415</v>
      </c>
    </row>
    <row r="111">
      <c r="A111" s="105" t="s">
        <v>418</v>
      </c>
    </row>
    <row r="112">
      <c r="A112" s="105" t="s">
        <v>421</v>
      </c>
    </row>
    <row r="113">
      <c r="A113" s="105" t="s">
        <v>424</v>
      </c>
    </row>
    <row r="114">
      <c r="A114" s="105" t="s">
        <v>427</v>
      </c>
    </row>
    <row r="115">
      <c r="A115" s="105" t="s">
        <v>430</v>
      </c>
    </row>
    <row r="116">
      <c r="A116" s="105" t="s">
        <v>433</v>
      </c>
    </row>
    <row r="117">
      <c r="A117" s="105" t="s">
        <v>436</v>
      </c>
    </row>
    <row r="118">
      <c r="A118" s="105" t="s">
        <v>441</v>
      </c>
    </row>
    <row r="119">
      <c r="A119" s="105" t="s">
        <v>444</v>
      </c>
    </row>
    <row r="120">
      <c r="A120" s="105" t="s">
        <v>447</v>
      </c>
    </row>
    <row r="121">
      <c r="A121" s="105" t="s">
        <v>449</v>
      </c>
    </row>
    <row r="122">
      <c r="A122" s="105" t="s">
        <v>452</v>
      </c>
    </row>
    <row r="123">
      <c r="A123" s="105" t="s">
        <v>454</v>
      </c>
    </row>
    <row r="124">
      <c r="A124" s="105" t="s">
        <v>457</v>
      </c>
    </row>
    <row r="125">
      <c r="A125" s="105" t="s">
        <v>298</v>
      </c>
    </row>
  </sheetData>
  <drawing r:id="rId1"/>
</worksheet>
</file>